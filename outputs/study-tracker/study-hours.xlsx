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905098deca40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f9c22f18cdc14588"/>
    <x:sheet xmlns:r="http://schemas.openxmlformats.org/officeDocument/2006/relationships" name="Weekly" sheetId="2" r:id="R48ec36fb3f954678"/>
    <x:sheet xmlns:r="http://schemas.openxmlformats.org/officeDocument/2006/relationships" name="Sessions" sheetId="3" r:id="R3fe13398cb1b4a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7324577f8642c8" /><Relationship Type="http://schemas.openxmlformats.org/officeDocument/2006/relationships/theme" Target="/xl/theme/theme1.xml" Id="R203d2cd27a954864" /><Relationship Type="http://schemas.openxmlformats.org/officeDocument/2006/relationships/sharedStrings" Target="/xl/sharedStrings.xml" Id="Rb87d4e57c8a2456c" /><Relationship Type="http://schemas.openxmlformats.org/officeDocument/2006/relationships/worksheet" Target="/xl/worksheets/sheet1.xml" Id="Rf9c22f18cdc14588" /><Relationship Type="http://schemas.openxmlformats.org/officeDocument/2006/relationships/worksheet" Target="/xl/worksheets/sheet2.xml" Id="R48ec36fb3f954678" /><Relationship Type="http://schemas.openxmlformats.org/officeDocument/2006/relationships/worksheet" Target="/xl/worksheets/sheet3.xml" Id="R3fe13398cb1b4a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46310</x:v>
      </x:c>
      <x:c r="C4" s="1"/>
      <x:c r="D4" s="1" t="str">
        <x:v>Confirmed hours</x:v>
      </x:c>
      <x:c r="E4" s="6" t="n">
        <x:f>SUM(E15:E130)</x:f>
        <x:v>0</x:v>
      </x:c>
      <x:c r="F4" s="1"/>
      <x:c r="G4" s="1"/>
      <x:c r="H4" s="1"/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SUMIFS(D15:D130,A15:A130,"&lt;"&amp;B4)</x:f>
        <x:v>0</x:v>
      </x:c>
      <x:c r="F5" s="1"/>
      <x:c r="G5" s="1"/>
      <x:c r="H5" s="1"/>
      <x:c r="I5" s="1"/>
      <x:c r="J5" s="1"/>
    </x:row>
    <x:row r="6" ht="22" customHeight="1">
      <x:c r="A6" s="1" t="str">
        <x:v>Weekday target (hours)</x:v>
      </x:c>
      <x:c r="B6" s="9" t="n">
        <x:v>6</x:v>
      </x:c>
      <x:c r="C6" s="1"/>
      <x:c r="D6" s="1" t="str">
        <x:v>Behind: closed days</x:v>
      </x:c>
      <x:c r="E6" s="6" t="n">
        <x:f>MAX(E5-SUMIFS(E15:E130,A15:A130,"&lt;"&amp;B4),0)</x:f>
        <x:v>0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MAX(SUMIFS(E15:E130,A15:A130,"&lt;"&amp;B4)-E5,0)</x:f>
        <x:v>0</x:v>
      </x:c>
      <x:c r="F7" s="1"/>
      <x:c r="G7" s="1"/>
      <x:c r="H7" s="1"/>
      <x:c r="I7" s="1"/>
      <x:c r="J7" s="1"/>
    </x:row>
    <x:row r="8" ht="22" customHeight="1">
      <x:c r="A8" s="1"/>
      <x:c r="B8" s="1"/>
      <x:c r="C8" s="1"/>
      <x:c r="D8" s="1" t="str">
        <x:v>Remaining today</x:v>
      </x:c>
      <x:c r="E8" s="6" t="n">
        <x:f>MAX(SUMIFS(D15:D130,A15:A130,B4)-SUMIFS(E15:E130,A15:A130,B4),0)</x:f>
        <x:v>6</x:v>
      </x:c>
      <x:c r="F8" s="1"/>
      <x:c r="G8" s="1"/>
      <x:c r="H8" s="1"/>
      <x:c r="I8" s="1"/>
      <x:c r="J8" s="1"/>
    </x:row>
    <x:row r="9" ht="22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IF(WEEKDAY(A15,2)&gt;5,$B$7,$B$6)</x:f>
        <x:v>6</x:v>
      </x:c>
      <x:c r="E15" s="6" t="n">
        <x:f>IF(A15&gt;$B$4,"",SUMIFS('Sessions'!$F$2:$F$2,'Sessions'!$B$2:$B$2,A15,'Sessions'!$G$2:$G$2,"completed")/60)</x:f>
        <x:v>0</x:v>
      </x:c>
      <x:c r="F15" s="6" t="str">
        <x:f>IF(A15&gt;=$B$4,"",MAX(D15-E15,0))</x:f>
      </x:c>
      <x:c r="G15" s="6" t="str">
        <x:f>IF(A15&gt;=$B$4,"",MAX(E15-D15,0))</x:f>
      </x:c>
      <x:c r="H15" s="6" t="str">
        <x:f>IF(A15&gt;=$B$4,"",SUM($D$15:D15))</x:f>
      </x:c>
      <x:c r="I15" s="6" t="n">
        <x:f>IF(A15&gt;$B$4,"",SUM($E$15:E15))</x:f>
        <x:v>0</x:v>
      </x:c>
      <x:c r="J15" s="1" t="str">
        <x:f>IF(A15&gt;$B$4,"Future",IF(A15=$B$4,"In progress",IF(COUNTIFS('Sessions'!$B$2:$B$2,A15,'Sessions'!$G$2:$G$2,"needs_confirmation")&gt;0,"Uncertain time",IF(E15=0,"No confirmed time","Logged"))))</x:f>
        <x:v>In progress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IF(WEEKDAY(A16,2)&gt;5,$B$7,$B$6)</x:f>
        <x:v>6</x:v>
      </x:c>
      <x:c r="E16" s="6" t="str">
        <x:f>IF(A16&gt;$B$4,"",SUMIFS('Sessions'!$F$2:$F$2,'Sessions'!$B$2:$B$2,A16,'Sessions'!$G$2:$G$2,"completed")/60)</x:f>
      </x:c>
      <x:c r="F16" s="6" t="str">
        <x:f>IF(A16&gt;=$B$4,"",MAX(D16-E16,0))</x:f>
      </x:c>
      <x:c r="G16" s="6" t="str">
        <x:f>IF(A16&gt;=$B$4,"",MAX(E16-D16,0))</x:f>
      </x:c>
      <x:c r="H16" s="6" t="str">
        <x:f>IF(A16&gt;=$B$4,"",SUM($D$15:D16))</x:f>
      </x:c>
      <x:c r="I16" s="6" t="str">
        <x:f>IF(A16&gt;$B$4,"",SUM($E$15:E16))</x:f>
      </x:c>
      <x:c r="J16" s="1" t="str">
        <x:f>IF(A16&gt;$B$4,"Future",IF(A16=$B$4,"In progress",IF(COUNTIFS('Sessions'!$B$2:$B$2,A16,'Sessions'!$G$2:$G$2,"needs_confirmation")&gt;0,"Uncertain time",IF(E16=0,"No confirmed time","Logged"))))</x:f>
        <x:v>Future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IF(WEEKDAY(A17,2)&gt;5,$B$7,$B$6)</x:f>
        <x:v>10</x:v>
      </x:c>
      <x:c r="E17" s="6" t="str">
        <x:f>IF(A17&gt;$B$4,"",SUMIFS('Sessions'!$F$2:$F$2,'Sessions'!$B$2:$B$2,A17,'Sessions'!$G$2:$G$2,"completed")/60)</x:f>
      </x:c>
      <x:c r="F17" s="6" t="str">
        <x:f>IF(A17&gt;=$B$4,"",MAX(D17-E17,0))</x:f>
      </x:c>
      <x:c r="G17" s="6" t="str">
        <x:f>IF(A17&gt;=$B$4,"",MAX(E17-D17,0))</x:f>
      </x:c>
      <x:c r="H17" s="6" t="str">
        <x:f>IF(A17&gt;=$B$4,"",SUM($D$15:D17))</x:f>
      </x:c>
      <x:c r="I17" s="6" t="str">
        <x:f>IF(A17&gt;$B$4,"",SUM($E$15:E17))</x:f>
      </x:c>
      <x:c r="J17" s="1" t="str">
        <x:f>IF(A17&gt;$B$4,"Future",IF(A17=$B$4,"In progress",IF(COUNTIFS('Sessions'!$B$2:$B$2,A17,'Sessions'!$G$2:$G$2,"needs_confirmation")&gt;0,"Uncertain time",IF(E17=0,"No confirmed time","Logged"))))</x:f>
        <x:v>Future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IF(WEEKDAY(A18,2)&gt;5,$B$7,$B$6)</x:f>
        <x:v>10</x:v>
      </x:c>
      <x:c r="E18" s="6" t="str">
        <x:f>IF(A18&gt;$B$4,"",SUMIFS('Sessions'!$F$2:$F$2,'Sessions'!$B$2:$B$2,A18,'Sessions'!$G$2:$G$2,"completed")/60)</x:f>
      </x:c>
      <x:c r="F18" s="6" t="str">
        <x:f>IF(A18&gt;=$B$4,"",MAX(D18-E18,0))</x:f>
      </x:c>
      <x:c r="G18" s="6" t="str">
        <x:f>IF(A18&gt;=$B$4,"",MAX(E18-D18,0))</x:f>
      </x:c>
      <x:c r="H18" s="6" t="str">
        <x:f>IF(A18&gt;=$B$4,"",SUM($D$15:D18))</x:f>
      </x:c>
      <x:c r="I18" s="6" t="str">
        <x:f>IF(A18&gt;$B$4,"",SUM($E$15:E18))</x:f>
      </x:c>
      <x:c r="J18" s="1" t="str">
        <x:f>IF(A18&gt;$B$4,"Future",IF(A18=$B$4,"In progress",IF(COUNTIFS('Sessions'!$B$2:$B$2,A18,'Sessions'!$G$2:$G$2,"needs_confirmation")&gt;0,"Uncertain time",IF(E18=0,"No confirmed time","Logged"))))</x:f>
        <x:v>Future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IF(WEEKDAY(A19,2)&gt;5,$B$7,$B$6)</x:f>
        <x:v>6</x:v>
      </x:c>
      <x:c r="E19" s="6" t="str">
        <x:f>IF(A19&gt;$B$4,"",SUMIFS('Sessions'!$F$2:$F$2,'Sessions'!$B$2:$B$2,A19,'Sessions'!$G$2:$G$2,"completed")/60)</x:f>
      </x:c>
      <x:c r="F19" s="6" t="str">
        <x:f>IF(A19&gt;=$B$4,"",MAX(D19-E19,0))</x:f>
      </x:c>
      <x:c r="G19" s="6" t="str">
        <x:f>IF(A19&gt;=$B$4,"",MAX(E19-D19,0))</x:f>
      </x:c>
      <x:c r="H19" s="6" t="str">
        <x:f>IF(A19&gt;=$B$4,"",SUM($D$15:D19))</x:f>
      </x:c>
      <x:c r="I19" s="6" t="str">
        <x:f>IF(A19&gt;$B$4,"",SUM($E$15:E19))</x:f>
      </x:c>
      <x:c r="J19" s="1" t="str">
        <x:f>IF(A19&gt;$B$4,"Future",IF(A19=$B$4,"In progress",IF(COUNTIFS('Sessions'!$B$2:$B$2,A19,'Sessions'!$G$2:$G$2,"needs_confirmation")&gt;0,"Uncertain time",IF(E19=0,"No confirmed time","Logged"))))</x:f>
        <x:v>Future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IF(WEEKDAY(A20,2)&gt;5,$B$7,$B$6)</x:f>
        <x:v>6</x:v>
      </x:c>
      <x:c r="E20" s="6" t="str">
        <x:f>IF(A20&gt;$B$4,"",SUMIFS('Sessions'!$F$2:$F$2,'Sessions'!$B$2:$B$2,A20,'Sessions'!$G$2:$G$2,"completed")/60)</x:f>
      </x:c>
      <x:c r="F20" s="6" t="str">
        <x:f>IF(A20&gt;=$B$4,"",MAX(D20-E20,0))</x:f>
      </x:c>
      <x:c r="G20" s="6" t="str">
        <x:f>IF(A20&gt;=$B$4,"",MAX(E20-D20,0))</x:f>
      </x:c>
      <x:c r="H20" s="6" t="str">
        <x:f>IF(A20&gt;=$B$4,"",SUM($D$15:D20))</x:f>
      </x:c>
      <x:c r="I20" s="6" t="str">
        <x:f>IF(A20&gt;$B$4,"",SUM($E$15:E20))</x:f>
      </x:c>
      <x:c r="J20" s="1" t="str">
        <x:f>IF(A20&gt;$B$4,"Future",IF(A20=$B$4,"In progress",IF(COUNTIFS('Sessions'!$B$2:$B$2,A20,'Sessions'!$G$2:$G$2,"needs_confirmation")&gt;0,"Uncertain time",IF(E20=0,"No confirmed time","Logged"))))</x:f>
        <x:v>Future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IF(WEEKDAY(A21,2)&gt;5,$B$7,$B$6)</x:f>
        <x:v>6</x:v>
      </x:c>
      <x:c r="E21" s="6" t="str">
        <x:f>IF(A21&gt;$B$4,"",SUMIFS('Sessions'!$F$2:$F$2,'Sessions'!$B$2:$B$2,A21,'Sessions'!$G$2:$G$2,"completed")/60)</x:f>
      </x:c>
      <x:c r="F21" s="6" t="str">
        <x:f>IF(A21&gt;=$B$4,"",MAX(D21-E21,0))</x:f>
      </x:c>
      <x:c r="G21" s="6" t="str">
        <x:f>IF(A21&gt;=$B$4,"",MAX(E21-D21,0))</x:f>
      </x:c>
      <x:c r="H21" s="6" t="str">
        <x:f>IF(A21&gt;=$B$4,"",SUM($D$15:D21))</x:f>
      </x:c>
      <x:c r="I21" s="6" t="str">
        <x:f>IF(A21&gt;$B$4,"",SUM($E$15:E21))</x:f>
      </x:c>
      <x:c r="J21" s="1" t="str">
        <x:f>IF(A21&gt;$B$4,"Future",IF(A21=$B$4,"In progress",IF(COUNTIFS('Sessions'!$B$2:$B$2,A21,'Sessions'!$G$2:$G$2,"needs_confirmation")&gt;0,"Uncertain time",IF(E21=0,"No confirmed time","Logged"))))</x:f>
        <x:v>Future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IF(WEEKDAY(A22,2)&gt;5,$B$7,$B$6)</x:f>
        <x:v>6</x:v>
      </x:c>
      <x:c r="E22" s="6" t="str">
        <x:f>IF(A22&gt;$B$4,"",SUMIFS('Sessions'!$F$2:$F$2,'Sessions'!$B$2:$B$2,A22,'Sessions'!$G$2:$G$2,"completed")/60)</x:f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str">
        <x:f>IF(A22&gt;$B$4,"",SUM($E$15:E22))</x:f>
      </x:c>
      <x:c r="J22" s="1" t="str">
        <x:f>IF(A22&gt;$B$4,"Future",IF(A22=$B$4,"In progress",IF(COUNTIFS('Sessions'!$B$2:$B$2,A22,'Sessions'!$G$2:$G$2,"needs_confirmation")&gt;0,"Uncertain time",IF(E22=0,"No confirmed time","Logged"))))</x:f>
        <x:v>Future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IF(WEEKDAY(A23,2)&gt;5,$B$7,$B$6)</x:f>
        <x:v>6</x:v>
      </x:c>
      <x:c r="E23" s="6" t="str">
        <x:f>IF(A23&gt;$B$4,"",SUMIFS('Sessions'!$F$2:$F$2,'Sessions'!$B$2:$B$2,A23,'Sessions'!$G$2:$G$2,"completed")/60)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progress",IF(COUNTIFS('Sessions'!$B$2:$B$2,A23,'Sessions'!$G$2:$G$2,"needs_confirmation")&gt;0,"Uncertain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IF(WEEKDAY(A24,2)&gt;5,$B$7,$B$6)</x:f>
        <x:v>10</x:v>
      </x:c>
      <x:c r="E24" s="6" t="str">
        <x:f>IF(A24&gt;$B$4,"",SUMIFS('Sessions'!$F$2:$F$2,'Sessions'!$B$2:$B$2,A24,'Sessions'!$G$2:$G$2,"completed")/60)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progress",IF(COUNTIFS('Sessions'!$B$2:$B$2,A24,'Sessions'!$G$2:$G$2,"needs_confirmation")&gt;0,"Uncertain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IF(WEEKDAY(A25,2)&gt;5,$B$7,$B$6)</x:f>
        <x:v>10</x:v>
      </x:c>
      <x:c r="E25" s="6" t="str">
        <x:f>IF(A25&gt;$B$4,"",SUMIFS('Sessions'!$F$2:$F$2,'Sessions'!$B$2:$B$2,A25,'Sessions'!$G$2:$G$2,"completed")/60)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progress",IF(COUNTIFS('Sessions'!$B$2:$B$2,A25,'Sessions'!$G$2:$G$2,"needs_confirmation")&gt;0,"Uncertain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IF(WEEKDAY(A26,2)&gt;5,$B$7,$B$6)</x:f>
        <x:v>6</x:v>
      </x:c>
      <x:c r="E26" s="6" t="str">
        <x:f>IF(A26&gt;$B$4,"",SUMIFS('Sessions'!$F$2:$F$2,'Sessions'!$B$2:$B$2,A26,'Sessions'!$G$2:$G$2,"completed")/60)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progress",IF(COUNTIFS('Sessions'!$B$2:$B$2,A26,'Sessions'!$G$2:$G$2,"needs_confirmation")&gt;0,"Uncertain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IF(WEEKDAY(A27,2)&gt;5,$B$7,$B$6)</x:f>
        <x:v>6</x:v>
      </x:c>
      <x:c r="E27" s="6" t="str">
        <x:f>IF(A27&gt;$B$4,"",SUMIFS('Sessions'!$F$2:$F$2,'Sessions'!$B$2:$B$2,A27,'Sessions'!$G$2:$G$2,"completed")/60)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progress",IF(COUNTIFS('Sessions'!$B$2:$B$2,A27,'Sessions'!$G$2:$G$2,"needs_confirmation")&gt;0,"Uncertain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IF(WEEKDAY(A28,2)&gt;5,$B$7,$B$6)</x:f>
        <x:v>6</x:v>
      </x:c>
      <x:c r="E28" s="6" t="str">
        <x:f>IF(A28&gt;$B$4,"",SUMIFS('Sessions'!$F$2:$F$2,'Sessions'!$B$2:$B$2,A28,'Sessions'!$G$2:$G$2,"completed")/60)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progress",IF(COUNTIFS('Sessions'!$B$2:$B$2,A28,'Sessions'!$G$2:$G$2,"needs_confirmation")&gt;0,"Uncertain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IF(WEEKDAY(A29,2)&gt;5,$B$7,$B$6)</x:f>
        <x:v>6</x:v>
      </x:c>
      <x:c r="E29" s="6" t="str">
        <x:f>IF(A29&gt;$B$4,"",SUMIFS('Sessions'!$F$2:$F$2,'Sessions'!$B$2:$B$2,A29,'Sessions'!$G$2:$G$2,"completed")/60)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progress",IF(COUNTIFS('Sessions'!$B$2:$B$2,A29,'Sessions'!$G$2:$G$2,"needs_confirmation")&gt;0,"Uncertain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IF(WEEKDAY(A30,2)&gt;5,$B$7,$B$6)</x:f>
        <x:v>6</x:v>
      </x:c>
      <x:c r="E30" s="6" t="str">
        <x:f>IF(A30&gt;$B$4,"",SUMIFS('Sessions'!$F$2:$F$2,'Sessions'!$B$2:$B$2,A30,'Sessions'!$G$2:$G$2,"completed")/60)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progress",IF(COUNTIFS('Sessions'!$B$2:$B$2,A30,'Sessions'!$G$2:$G$2,"needs_confirmation")&gt;0,"Uncertain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IF(WEEKDAY(A31,2)&gt;5,$B$7,$B$6)</x:f>
        <x:v>10</x:v>
      </x:c>
      <x:c r="E31" s="6" t="str">
        <x:f>IF(A31&gt;$B$4,"",SUMIFS('Sessions'!$F$2:$F$2,'Sessions'!$B$2:$B$2,A31,'Sessions'!$G$2:$G$2,"completed")/60)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progress",IF(COUNTIFS('Sessions'!$B$2:$B$2,A31,'Sessions'!$G$2:$G$2,"needs_confirmation")&gt;0,"Uncertain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IF(WEEKDAY(A32,2)&gt;5,$B$7,$B$6)</x:f>
        <x:v>10</x:v>
      </x:c>
      <x:c r="E32" s="6" t="str">
        <x:f>IF(A32&gt;$B$4,"",SUMIFS('Sessions'!$F$2:$F$2,'Sessions'!$B$2:$B$2,A32,'Sessions'!$G$2:$G$2,"completed")/60)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progress",IF(COUNTIFS('Sessions'!$B$2:$B$2,A32,'Sessions'!$G$2:$G$2,"needs_confirmation")&gt;0,"Uncertain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IF(WEEKDAY(A33,2)&gt;5,$B$7,$B$6)</x:f>
        <x:v>6</x:v>
      </x:c>
      <x:c r="E33" s="6" t="str">
        <x:f>IF(A33&gt;$B$4,"",SUMIFS('Sessions'!$F$2:$F$2,'Sessions'!$B$2:$B$2,A33,'Sessions'!$G$2:$G$2,"completed")/60)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progress",IF(COUNTIFS('Sessions'!$B$2:$B$2,A33,'Sessions'!$G$2:$G$2,"needs_confirmation")&gt;0,"Uncertain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IF(WEEKDAY(A34,2)&gt;5,$B$7,$B$6)</x:f>
        <x:v>6</x:v>
      </x:c>
      <x:c r="E34" s="6" t="str">
        <x:f>IF(A34&gt;$B$4,"",SUMIFS('Sessions'!$F$2:$F$2,'Sessions'!$B$2:$B$2,A34,'Sessions'!$G$2:$G$2,"completed")/60)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progress",IF(COUNTIFS('Sessions'!$B$2:$B$2,A34,'Sessions'!$G$2:$G$2,"needs_confirmation")&gt;0,"Uncertain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IF(WEEKDAY(A35,2)&gt;5,$B$7,$B$6)</x:f>
        <x:v>6</x:v>
      </x:c>
      <x:c r="E35" s="6" t="str">
        <x:f>IF(A35&gt;$B$4,"",SUMIFS('Sessions'!$F$2:$F$2,'Sessions'!$B$2:$B$2,A35,'Sessions'!$G$2:$G$2,"completed")/60)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progress",IF(COUNTIFS('Sessions'!$B$2:$B$2,A35,'Sessions'!$G$2:$G$2,"needs_confirmation")&gt;0,"Uncertain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IF(WEEKDAY(A36,2)&gt;5,$B$7,$B$6)</x:f>
        <x:v>6</x:v>
      </x:c>
      <x:c r="E36" s="6" t="str">
        <x:f>IF(A36&gt;$B$4,"",SUMIFS('Sessions'!$F$2:$F$2,'Sessions'!$B$2:$B$2,A36,'Sessions'!$G$2:$G$2,"completed")/60)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progress",IF(COUNTIFS('Sessions'!$B$2:$B$2,A36,'Sessions'!$G$2:$G$2,"needs_confirmation")&gt;0,"Uncertain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IF(WEEKDAY(A37,2)&gt;5,$B$7,$B$6)</x:f>
        <x:v>6</x:v>
      </x:c>
      <x:c r="E37" s="6" t="str">
        <x:f>IF(A37&gt;$B$4,"",SUMIFS('Sessions'!$F$2:$F$2,'Sessions'!$B$2:$B$2,A37,'Sessions'!$G$2:$G$2,"completed")/60)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progress",IF(COUNTIFS('Sessions'!$B$2:$B$2,A37,'Sessions'!$G$2:$G$2,"needs_confirmation")&gt;0,"Uncertain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IF(WEEKDAY(A38,2)&gt;5,$B$7,$B$6)</x:f>
        <x:v>10</x:v>
      </x:c>
      <x:c r="E38" s="6" t="str">
        <x:f>IF(A38&gt;$B$4,"",SUMIFS('Sessions'!$F$2:$F$2,'Sessions'!$B$2:$B$2,A38,'Sessions'!$G$2:$G$2,"completed")/60)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progress",IF(COUNTIFS('Sessions'!$B$2:$B$2,A38,'Sessions'!$G$2:$G$2,"needs_confirmation")&gt;0,"Uncertain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IF(WEEKDAY(A39,2)&gt;5,$B$7,$B$6)</x:f>
        <x:v>10</x:v>
      </x:c>
      <x:c r="E39" s="6" t="str">
        <x:f>IF(A39&gt;$B$4,"",SUMIFS('Sessions'!$F$2:$F$2,'Sessions'!$B$2:$B$2,A39,'Sessions'!$G$2:$G$2,"completed")/60)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progress",IF(COUNTIFS('Sessions'!$B$2:$B$2,A39,'Sessions'!$G$2:$G$2,"needs_confirmation")&gt;0,"Uncertain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IF(WEEKDAY(A40,2)&gt;5,$B$7,$B$6)</x:f>
        <x:v>6</x:v>
      </x:c>
      <x:c r="E40" s="6" t="str">
        <x:f>IF(A40&gt;$B$4,"",SUMIFS('Sessions'!$F$2:$F$2,'Sessions'!$B$2:$B$2,A40,'Sessions'!$G$2:$G$2,"completed")/60)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progress",IF(COUNTIFS('Sessions'!$B$2:$B$2,A40,'Sessions'!$G$2:$G$2,"needs_confirmation")&gt;0,"Uncertain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IF(WEEKDAY(A41,2)&gt;5,$B$7,$B$6)</x:f>
        <x:v>6</x:v>
      </x:c>
      <x:c r="E41" s="6" t="str">
        <x:f>IF(A41&gt;$B$4,"",SUMIFS('Sessions'!$F$2:$F$2,'Sessions'!$B$2:$B$2,A41,'Sessions'!$G$2:$G$2,"completed")/60)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progress",IF(COUNTIFS('Sessions'!$B$2:$B$2,A41,'Sessions'!$G$2:$G$2,"needs_confirmation")&gt;0,"Uncertain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IF(WEEKDAY(A42,2)&gt;5,$B$7,$B$6)</x:f>
        <x:v>6</x:v>
      </x:c>
      <x:c r="E42" s="6" t="str">
        <x:f>IF(A42&gt;$B$4,"",SUMIFS('Sessions'!$F$2:$F$2,'Sessions'!$B$2:$B$2,A42,'Sessions'!$G$2:$G$2,"completed")/60)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progress",IF(COUNTIFS('Sessions'!$B$2:$B$2,A42,'Sessions'!$G$2:$G$2,"needs_confirmation")&gt;0,"Uncertain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IF(WEEKDAY(A43,2)&gt;5,$B$7,$B$6)</x:f>
        <x:v>6</x:v>
      </x:c>
      <x:c r="E43" s="6" t="str">
        <x:f>IF(A43&gt;$B$4,"",SUMIFS('Sessions'!$F$2:$F$2,'Sessions'!$B$2:$B$2,A43,'Sessions'!$G$2:$G$2,"completed")/60)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progress",IF(COUNTIFS('Sessions'!$B$2:$B$2,A43,'Sessions'!$G$2:$G$2,"needs_confirmation")&gt;0,"Uncertain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IF(WEEKDAY(A44,2)&gt;5,$B$7,$B$6)</x:f>
        <x:v>6</x:v>
      </x:c>
      <x:c r="E44" s="6" t="str">
        <x:f>IF(A44&gt;$B$4,"",SUMIFS('Sessions'!$F$2:$F$2,'Sessions'!$B$2:$B$2,A44,'Sessions'!$G$2:$G$2,"completed")/60)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progress",IF(COUNTIFS('Sessions'!$B$2:$B$2,A44,'Sessions'!$G$2:$G$2,"needs_confirmation")&gt;0,"Uncertain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IF(WEEKDAY(A45,2)&gt;5,$B$7,$B$6)</x:f>
        <x:v>10</x:v>
      </x:c>
      <x:c r="E45" s="6" t="str">
        <x:f>IF(A45&gt;$B$4,"",SUMIFS('Sessions'!$F$2:$F$2,'Sessions'!$B$2:$B$2,A45,'Sessions'!$G$2:$G$2,"completed")/60)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progress",IF(COUNTIFS('Sessions'!$B$2:$B$2,A45,'Sessions'!$G$2:$G$2,"needs_confirmation")&gt;0,"Uncertain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IF(WEEKDAY(A46,2)&gt;5,$B$7,$B$6)</x:f>
        <x:v>10</x:v>
      </x:c>
      <x:c r="E46" s="6" t="str">
        <x:f>IF(A46&gt;$B$4,"",SUMIFS('Sessions'!$F$2:$F$2,'Sessions'!$B$2:$B$2,A46,'Sessions'!$G$2:$G$2,"completed")/60)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progress",IF(COUNTIFS('Sessions'!$B$2:$B$2,A46,'Sessions'!$G$2:$G$2,"needs_confirmation")&gt;0,"Uncertain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IF(WEEKDAY(A47,2)&gt;5,$B$7,$B$6)</x:f>
        <x:v>6</x:v>
      </x:c>
      <x:c r="E47" s="6" t="str">
        <x:f>IF(A47&gt;$B$4,"",SUMIFS('Sessions'!$F$2:$F$2,'Sessions'!$B$2:$B$2,A47,'Sessions'!$G$2:$G$2,"completed")/60)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progress",IF(COUNTIFS('Sessions'!$B$2:$B$2,A47,'Sessions'!$G$2:$G$2,"needs_confirmation")&gt;0,"Uncertain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IF(WEEKDAY(A48,2)&gt;5,$B$7,$B$6)</x:f>
        <x:v>6</x:v>
      </x:c>
      <x:c r="E48" s="6" t="str">
        <x:f>IF(A48&gt;$B$4,"",SUMIFS('Sessions'!$F$2:$F$2,'Sessions'!$B$2:$B$2,A48,'Sessions'!$G$2:$G$2,"completed")/60)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progress",IF(COUNTIFS('Sessions'!$B$2:$B$2,A48,'Sessions'!$G$2:$G$2,"needs_confirmation")&gt;0,"Uncertain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IF(WEEKDAY(A49,2)&gt;5,$B$7,$B$6)</x:f>
        <x:v>6</x:v>
      </x:c>
      <x:c r="E49" s="6" t="str">
        <x:f>IF(A49&gt;$B$4,"",SUMIFS('Sessions'!$F$2:$F$2,'Sessions'!$B$2:$B$2,A49,'Sessions'!$G$2:$G$2,"completed")/60)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progress",IF(COUNTIFS('Sessions'!$B$2:$B$2,A49,'Sessions'!$G$2:$G$2,"needs_confirmation")&gt;0,"Uncertain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IF(WEEKDAY(A50,2)&gt;5,$B$7,$B$6)</x:f>
        <x:v>6</x:v>
      </x:c>
      <x:c r="E50" s="6" t="str">
        <x:f>IF(A50&gt;$B$4,"",SUMIFS('Sessions'!$F$2:$F$2,'Sessions'!$B$2:$B$2,A50,'Sessions'!$G$2:$G$2,"completed")/60)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progress",IF(COUNTIFS('Sessions'!$B$2:$B$2,A50,'Sessions'!$G$2:$G$2,"needs_confirmation")&gt;0,"Uncertain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IF(WEEKDAY(A51,2)&gt;5,$B$7,$B$6)</x:f>
        <x:v>6</x:v>
      </x:c>
      <x:c r="E51" s="6" t="str">
        <x:f>IF(A51&gt;$B$4,"",SUMIFS('Sessions'!$F$2:$F$2,'Sessions'!$B$2:$B$2,A51,'Sessions'!$G$2:$G$2,"completed")/60)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progress",IF(COUNTIFS('Sessions'!$B$2:$B$2,A51,'Sessions'!$G$2:$G$2,"needs_confirmation")&gt;0,"Uncertain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IF(WEEKDAY(A52,2)&gt;5,$B$7,$B$6)</x:f>
        <x:v>10</x:v>
      </x:c>
      <x:c r="E52" s="6" t="str">
        <x:f>IF(A52&gt;$B$4,"",SUMIFS('Sessions'!$F$2:$F$2,'Sessions'!$B$2:$B$2,A52,'Sessions'!$G$2:$G$2,"completed")/60)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progress",IF(COUNTIFS('Sessions'!$B$2:$B$2,A52,'Sessions'!$G$2:$G$2,"needs_confirmation")&gt;0,"Uncertain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IF(WEEKDAY(A53,2)&gt;5,$B$7,$B$6)</x:f>
        <x:v>10</x:v>
      </x:c>
      <x:c r="E53" s="6" t="str">
        <x:f>IF(A53&gt;$B$4,"",SUMIFS('Sessions'!$F$2:$F$2,'Sessions'!$B$2:$B$2,A53,'Sessions'!$G$2:$G$2,"completed")/60)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progress",IF(COUNTIFS('Sessions'!$B$2:$B$2,A53,'Sessions'!$G$2:$G$2,"needs_confirmation")&gt;0,"Uncertain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IF(WEEKDAY(A54,2)&gt;5,$B$7,$B$6)</x:f>
        <x:v>6</x:v>
      </x:c>
      <x:c r="E54" s="6" t="str">
        <x:f>IF(A54&gt;$B$4,"",SUMIFS('Sessions'!$F$2:$F$2,'Sessions'!$B$2:$B$2,A54,'Sessions'!$G$2:$G$2,"completed")/60)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progress",IF(COUNTIFS('Sessions'!$B$2:$B$2,A54,'Sessions'!$G$2:$G$2,"needs_confirmation")&gt;0,"Uncertain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IF(WEEKDAY(A55,2)&gt;5,$B$7,$B$6)</x:f>
        <x:v>6</x:v>
      </x:c>
      <x:c r="E55" s="6" t="str">
        <x:f>IF(A55&gt;$B$4,"",SUMIFS('Sessions'!$F$2:$F$2,'Sessions'!$B$2:$B$2,A55,'Sessions'!$G$2:$G$2,"completed")/60)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progress",IF(COUNTIFS('Sessions'!$B$2:$B$2,A55,'Sessions'!$G$2:$G$2,"needs_confirmation")&gt;0,"Uncertain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IF(WEEKDAY(A56,2)&gt;5,$B$7,$B$6)</x:f>
        <x:v>6</x:v>
      </x:c>
      <x:c r="E56" s="6" t="str">
        <x:f>IF(A56&gt;$B$4,"",SUMIFS('Sessions'!$F$2:$F$2,'Sessions'!$B$2:$B$2,A56,'Sessions'!$G$2:$G$2,"completed")/60)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progress",IF(COUNTIFS('Sessions'!$B$2:$B$2,A56,'Sessions'!$G$2:$G$2,"needs_confirmation")&gt;0,"Uncertain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IF(WEEKDAY(A57,2)&gt;5,$B$7,$B$6)</x:f>
        <x:v>6</x:v>
      </x:c>
      <x:c r="E57" s="6" t="str">
        <x:f>IF(A57&gt;$B$4,"",SUMIFS('Sessions'!$F$2:$F$2,'Sessions'!$B$2:$B$2,A57,'Sessions'!$G$2:$G$2,"completed")/60)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progress",IF(COUNTIFS('Sessions'!$B$2:$B$2,A57,'Sessions'!$G$2:$G$2,"needs_confirmation")&gt;0,"Uncertain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IF(WEEKDAY(A58,2)&gt;5,$B$7,$B$6)</x:f>
        <x:v>6</x:v>
      </x:c>
      <x:c r="E58" s="6" t="str">
        <x:f>IF(A58&gt;$B$4,"",SUMIFS('Sessions'!$F$2:$F$2,'Sessions'!$B$2:$B$2,A58,'Sessions'!$G$2:$G$2,"completed")/60)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progress",IF(COUNTIFS('Sessions'!$B$2:$B$2,A58,'Sessions'!$G$2:$G$2,"needs_confirmation")&gt;0,"Uncertain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IF(WEEKDAY(A59,2)&gt;5,$B$7,$B$6)</x:f>
        <x:v>10</x:v>
      </x:c>
      <x:c r="E59" s="6" t="str">
        <x:f>IF(A59&gt;$B$4,"",SUMIFS('Sessions'!$F$2:$F$2,'Sessions'!$B$2:$B$2,A59,'Sessions'!$G$2:$G$2,"completed")/60)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progress",IF(COUNTIFS('Sessions'!$B$2:$B$2,A59,'Sessions'!$G$2:$G$2,"needs_confirmation")&gt;0,"Uncertain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IF(WEEKDAY(A60,2)&gt;5,$B$7,$B$6)</x:f>
        <x:v>10</x:v>
      </x:c>
      <x:c r="E60" s="6" t="str">
        <x:f>IF(A60&gt;$B$4,"",SUMIFS('Sessions'!$F$2:$F$2,'Sessions'!$B$2:$B$2,A60,'Sessions'!$G$2:$G$2,"completed")/60)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progress",IF(COUNTIFS('Sessions'!$B$2:$B$2,A60,'Sessions'!$G$2:$G$2,"needs_confirmation")&gt;0,"Uncertain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IF(WEEKDAY(A61,2)&gt;5,$B$7,$B$6)</x:f>
        <x:v>6</x:v>
      </x:c>
      <x:c r="E61" s="6" t="str">
        <x:f>IF(A61&gt;$B$4,"",SUMIFS('Sessions'!$F$2:$F$2,'Sessions'!$B$2:$B$2,A61,'Sessions'!$G$2:$G$2,"completed")/60)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progress",IF(COUNTIFS('Sessions'!$B$2:$B$2,A61,'Sessions'!$G$2:$G$2,"needs_confirmation")&gt;0,"Uncertain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IF(WEEKDAY(A62,2)&gt;5,$B$7,$B$6)</x:f>
        <x:v>6</x:v>
      </x:c>
      <x:c r="E62" s="6" t="str">
        <x:f>IF(A62&gt;$B$4,"",SUMIFS('Sessions'!$F$2:$F$2,'Sessions'!$B$2:$B$2,A62,'Sessions'!$G$2:$G$2,"completed")/60)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progress",IF(COUNTIFS('Sessions'!$B$2:$B$2,A62,'Sessions'!$G$2:$G$2,"needs_confirmation")&gt;0,"Uncertain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IF(WEEKDAY(A63,2)&gt;5,$B$7,$B$6)</x:f>
        <x:v>6</x:v>
      </x:c>
      <x:c r="E63" s="6" t="str">
        <x:f>IF(A63&gt;$B$4,"",SUMIFS('Sessions'!$F$2:$F$2,'Sessions'!$B$2:$B$2,A63,'Sessions'!$G$2:$G$2,"completed")/60)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progress",IF(COUNTIFS('Sessions'!$B$2:$B$2,A63,'Sessions'!$G$2:$G$2,"needs_confirmation")&gt;0,"Uncertain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IF(WEEKDAY(A64,2)&gt;5,$B$7,$B$6)</x:f>
        <x:v>6</x:v>
      </x:c>
      <x:c r="E64" s="6" t="str">
        <x:f>IF(A64&gt;$B$4,"",SUMIFS('Sessions'!$F$2:$F$2,'Sessions'!$B$2:$B$2,A64,'Sessions'!$G$2:$G$2,"completed")/60)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progress",IF(COUNTIFS('Sessions'!$B$2:$B$2,A64,'Sessions'!$G$2:$G$2,"needs_confirmation")&gt;0,"Uncertain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IF(WEEKDAY(A65,2)&gt;5,$B$7,$B$6)</x:f>
        <x:v>6</x:v>
      </x:c>
      <x:c r="E65" s="6" t="str">
        <x:f>IF(A65&gt;$B$4,"",SUMIFS('Sessions'!$F$2:$F$2,'Sessions'!$B$2:$B$2,A65,'Sessions'!$G$2:$G$2,"completed")/60)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progress",IF(COUNTIFS('Sessions'!$B$2:$B$2,A65,'Sessions'!$G$2:$G$2,"needs_confirmation")&gt;0,"Uncertain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IF(WEEKDAY(A66,2)&gt;5,$B$7,$B$6)</x:f>
        <x:v>10</x:v>
      </x:c>
      <x:c r="E66" s="6" t="str">
        <x:f>IF(A66&gt;$B$4,"",SUMIFS('Sessions'!$F$2:$F$2,'Sessions'!$B$2:$B$2,A66,'Sessions'!$G$2:$G$2,"completed")/60)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progress",IF(COUNTIFS('Sessions'!$B$2:$B$2,A66,'Sessions'!$G$2:$G$2,"needs_confirmation")&gt;0,"Uncertain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IF(WEEKDAY(A67,2)&gt;5,$B$7,$B$6)</x:f>
        <x:v>10</x:v>
      </x:c>
      <x:c r="E67" s="6" t="str">
        <x:f>IF(A67&gt;$B$4,"",SUMIFS('Sessions'!$F$2:$F$2,'Sessions'!$B$2:$B$2,A67,'Sessions'!$G$2:$G$2,"completed")/60)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progress",IF(COUNTIFS('Sessions'!$B$2:$B$2,A67,'Sessions'!$G$2:$G$2,"needs_confirmation")&gt;0,"Uncertain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IF(WEEKDAY(A68,2)&gt;5,$B$7,$B$6)</x:f>
        <x:v>6</x:v>
      </x:c>
      <x:c r="E68" s="6" t="str">
        <x:f>IF(A68&gt;$B$4,"",SUMIFS('Sessions'!$F$2:$F$2,'Sessions'!$B$2:$B$2,A68,'Sessions'!$G$2:$G$2,"completed")/60)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progress",IF(COUNTIFS('Sessions'!$B$2:$B$2,A68,'Sessions'!$G$2:$G$2,"needs_confirmation")&gt;0,"Uncertain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IF(WEEKDAY(A69,2)&gt;5,$B$7,$B$6)</x:f>
        <x:v>6</x:v>
      </x:c>
      <x:c r="E69" s="6" t="str">
        <x:f>IF(A69&gt;$B$4,"",SUMIFS('Sessions'!$F$2:$F$2,'Sessions'!$B$2:$B$2,A69,'Sessions'!$G$2:$G$2,"completed")/60)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progress",IF(COUNTIFS('Sessions'!$B$2:$B$2,A69,'Sessions'!$G$2:$G$2,"needs_confirmation")&gt;0,"Uncertain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IF(WEEKDAY(A70,2)&gt;5,$B$7,$B$6)</x:f>
        <x:v>6</x:v>
      </x:c>
      <x:c r="E70" s="6" t="str">
        <x:f>IF(A70&gt;$B$4,"",SUMIFS('Sessions'!$F$2:$F$2,'Sessions'!$B$2:$B$2,A70,'Sessions'!$G$2:$G$2,"completed")/60)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progress",IF(COUNTIFS('Sessions'!$B$2:$B$2,A70,'Sessions'!$G$2:$G$2,"needs_confirmation")&gt;0,"Uncertain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IF(WEEKDAY(A71,2)&gt;5,$B$7,$B$6)</x:f>
        <x:v>6</x:v>
      </x:c>
      <x:c r="E71" s="6" t="str">
        <x:f>IF(A71&gt;$B$4,"",SUMIFS('Sessions'!$F$2:$F$2,'Sessions'!$B$2:$B$2,A71,'Sessions'!$G$2:$G$2,"completed")/60)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progress",IF(COUNTIFS('Sessions'!$B$2:$B$2,A71,'Sessions'!$G$2:$G$2,"needs_confirmation")&gt;0,"Uncertain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IF(WEEKDAY(A72,2)&gt;5,$B$7,$B$6)</x:f>
        <x:v>6</x:v>
      </x:c>
      <x:c r="E72" s="6" t="str">
        <x:f>IF(A72&gt;$B$4,"",SUMIFS('Sessions'!$F$2:$F$2,'Sessions'!$B$2:$B$2,A72,'Sessions'!$G$2:$G$2,"completed")/60)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progress",IF(COUNTIFS('Sessions'!$B$2:$B$2,A72,'Sessions'!$G$2:$G$2,"needs_confirmation")&gt;0,"Uncertain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IF(WEEKDAY(A73,2)&gt;5,$B$7,$B$6)</x:f>
        <x:v>10</x:v>
      </x:c>
      <x:c r="E73" s="6" t="str">
        <x:f>IF(A73&gt;$B$4,"",SUMIFS('Sessions'!$F$2:$F$2,'Sessions'!$B$2:$B$2,A73,'Sessions'!$G$2:$G$2,"completed")/60)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progress",IF(COUNTIFS('Sessions'!$B$2:$B$2,A73,'Sessions'!$G$2:$G$2,"needs_confirmation")&gt;0,"Uncertain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IF(WEEKDAY(A74,2)&gt;5,$B$7,$B$6)</x:f>
        <x:v>10</x:v>
      </x:c>
      <x:c r="E74" s="6" t="str">
        <x:f>IF(A74&gt;$B$4,"",SUMIFS('Sessions'!$F$2:$F$2,'Sessions'!$B$2:$B$2,A74,'Sessions'!$G$2:$G$2,"completed")/60)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progress",IF(COUNTIFS('Sessions'!$B$2:$B$2,A74,'Sessions'!$G$2:$G$2,"needs_confirmation")&gt;0,"Uncertain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IF(WEEKDAY(A75,2)&gt;5,$B$7,$B$6)</x:f>
        <x:v>6</x:v>
      </x:c>
      <x:c r="E75" s="6" t="str">
        <x:f>IF(A75&gt;$B$4,"",SUMIFS('Sessions'!$F$2:$F$2,'Sessions'!$B$2:$B$2,A75,'Sessions'!$G$2:$G$2,"completed")/60)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progress",IF(COUNTIFS('Sessions'!$B$2:$B$2,A75,'Sessions'!$G$2:$G$2,"needs_confirmation")&gt;0,"Uncertain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IF(WEEKDAY(A76,2)&gt;5,$B$7,$B$6)</x:f>
        <x:v>6</x:v>
      </x:c>
      <x:c r="E76" s="6" t="str">
        <x:f>IF(A76&gt;$B$4,"",SUMIFS('Sessions'!$F$2:$F$2,'Sessions'!$B$2:$B$2,A76,'Sessions'!$G$2:$G$2,"completed")/60)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progress",IF(COUNTIFS('Sessions'!$B$2:$B$2,A76,'Sessions'!$G$2:$G$2,"needs_confirmation")&gt;0,"Uncertain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IF(WEEKDAY(A77,2)&gt;5,$B$7,$B$6)</x:f>
        <x:v>6</x:v>
      </x:c>
      <x:c r="E77" s="6" t="str">
        <x:f>IF(A77&gt;$B$4,"",SUMIFS('Sessions'!$F$2:$F$2,'Sessions'!$B$2:$B$2,A77,'Sessions'!$G$2:$G$2,"completed")/60)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progress",IF(COUNTIFS('Sessions'!$B$2:$B$2,A77,'Sessions'!$G$2:$G$2,"needs_confirmation")&gt;0,"Uncertain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IF(WEEKDAY(A78,2)&gt;5,$B$7,$B$6)</x:f>
        <x:v>6</x:v>
      </x:c>
      <x:c r="E78" s="6" t="str">
        <x:f>IF(A78&gt;$B$4,"",SUMIFS('Sessions'!$F$2:$F$2,'Sessions'!$B$2:$B$2,A78,'Sessions'!$G$2:$G$2,"completed")/60)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progress",IF(COUNTIFS('Sessions'!$B$2:$B$2,A78,'Sessions'!$G$2:$G$2,"needs_confirmation")&gt;0,"Uncertain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IF(WEEKDAY(A79,2)&gt;5,$B$7,$B$6)</x:f>
        <x:v>6</x:v>
      </x:c>
      <x:c r="E79" s="6" t="str">
        <x:f>IF(A79&gt;$B$4,"",SUMIFS('Sessions'!$F$2:$F$2,'Sessions'!$B$2:$B$2,A79,'Sessions'!$G$2:$G$2,"completed")/60)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progress",IF(COUNTIFS('Sessions'!$B$2:$B$2,A79,'Sessions'!$G$2:$G$2,"needs_confirmation")&gt;0,"Uncertain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IF(WEEKDAY(A80,2)&gt;5,$B$7,$B$6)</x:f>
        <x:v>10</x:v>
      </x:c>
      <x:c r="E80" s="6" t="str">
        <x:f>IF(A80&gt;$B$4,"",SUMIFS('Sessions'!$F$2:$F$2,'Sessions'!$B$2:$B$2,A80,'Sessions'!$G$2:$G$2,"completed")/60)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progress",IF(COUNTIFS('Sessions'!$B$2:$B$2,A80,'Sessions'!$G$2:$G$2,"needs_confirmation")&gt;0,"Uncertain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IF(WEEKDAY(A81,2)&gt;5,$B$7,$B$6)</x:f>
        <x:v>10</x:v>
      </x:c>
      <x:c r="E81" s="6" t="str">
        <x:f>IF(A81&gt;$B$4,"",SUMIFS('Sessions'!$F$2:$F$2,'Sessions'!$B$2:$B$2,A81,'Sessions'!$G$2:$G$2,"completed")/60)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progress",IF(COUNTIFS('Sessions'!$B$2:$B$2,A81,'Sessions'!$G$2:$G$2,"needs_confirmation")&gt;0,"Uncertain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IF(WEEKDAY(A82,2)&gt;5,$B$7,$B$6)</x:f>
        <x:v>6</x:v>
      </x:c>
      <x:c r="E82" s="6" t="str">
        <x:f>IF(A82&gt;$B$4,"",SUMIFS('Sessions'!$F$2:$F$2,'Sessions'!$B$2:$B$2,A82,'Sessions'!$G$2:$G$2,"completed")/60)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progress",IF(COUNTIFS('Sessions'!$B$2:$B$2,A82,'Sessions'!$G$2:$G$2,"needs_confirmation")&gt;0,"Uncertain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IF(WEEKDAY(A83,2)&gt;5,$B$7,$B$6)</x:f>
        <x:v>6</x:v>
      </x:c>
      <x:c r="E83" s="6" t="str">
        <x:f>IF(A83&gt;$B$4,"",SUMIFS('Sessions'!$F$2:$F$2,'Sessions'!$B$2:$B$2,A83,'Sessions'!$G$2:$G$2,"completed")/60)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progress",IF(COUNTIFS('Sessions'!$B$2:$B$2,A83,'Sessions'!$G$2:$G$2,"needs_confirmation")&gt;0,"Uncertain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IF(WEEKDAY(A84,2)&gt;5,$B$7,$B$6)</x:f>
        <x:v>6</x:v>
      </x:c>
      <x:c r="E84" s="6" t="str">
        <x:f>IF(A84&gt;$B$4,"",SUMIFS('Sessions'!$F$2:$F$2,'Sessions'!$B$2:$B$2,A84,'Sessions'!$G$2:$G$2,"completed")/60)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progress",IF(COUNTIFS('Sessions'!$B$2:$B$2,A84,'Sessions'!$G$2:$G$2,"needs_confirmation")&gt;0,"Uncertain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IF(WEEKDAY(A85,2)&gt;5,$B$7,$B$6)</x:f>
        <x:v>6</x:v>
      </x:c>
      <x:c r="E85" s="6" t="str">
        <x:f>IF(A85&gt;$B$4,"",SUMIFS('Sessions'!$F$2:$F$2,'Sessions'!$B$2:$B$2,A85,'Sessions'!$G$2:$G$2,"completed")/60)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progress",IF(COUNTIFS('Sessions'!$B$2:$B$2,A85,'Sessions'!$G$2:$G$2,"needs_confirmation")&gt;0,"Uncertain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IF(WEEKDAY(A86,2)&gt;5,$B$7,$B$6)</x:f>
        <x:v>6</x:v>
      </x:c>
      <x:c r="E86" s="6" t="str">
        <x:f>IF(A86&gt;$B$4,"",SUMIFS('Sessions'!$F$2:$F$2,'Sessions'!$B$2:$B$2,A86,'Sessions'!$G$2:$G$2,"completed")/60)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progress",IF(COUNTIFS('Sessions'!$B$2:$B$2,A86,'Sessions'!$G$2:$G$2,"needs_confirmation")&gt;0,"Uncertain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IF(WEEKDAY(A87,2)&gt;5,$B$7,$B$6)</x:f>
        <x:v>10</x:v>
      </x:c>
      <x:c r="E87" s="6" t="str">
        <x:f>IF(A87&gt;$B$4,"",SUMIFS('Sessions'!$F$2:$F$2,'Sessions'!$B$2:$B$2,A87,'Sessions'!$G$2:$G$2,"completed")/60)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progress",IF(COUNTIFS('Sessions'!$B$2:$B$2,A87,'Sessions'!$G$2:$G$2,"needs_confirmation")&gt;0,"Uncertain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IF(WEEKDAY(A88,2)&gt;5,$B$7,$B$6)</x:f>
        <x:v>10</x:v>
      </x:c>
      <x:c r="E88" s="6" t="str">
        <x:f>IF(A88&gt;$B$4,"",SUMIFS('Sessions'!$F$2:$F$2,'Sessions'!$B$2:$B$2,A88,'Sessions'!$G$2:$G$2,"completed")/60)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progress",IF(COUNTIFS('Sessions'!$B$2:$B$2,A88,'Sessions'!$G$2:$G$2,"needs_confirmation")&gt;0,"Uncertain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IF(WEEKDAY(A89,2)&gt;5,$B$7,$B$6)</x:f>
        <x:v>6</x:v>
      </x:c>
      <x:c r="E89" s="6" t="str">
        <x:f>IF(A89&gt;$B$4,"",SUMIFS('Sessions'!$F$2:$F$2,'Sessions'!$B$2:$B$2,A89,'Sessions'!$G$2:$G$2,"completed")/60)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progress",IF(COUNTIFS('Sessions'!$B$2:$B$2,A89,'Sessions'!$G$2:$G$2,"needs_confirmation")&gt;0,"Uncertain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IF(WEEKDAY(A90,2)&gt;5,$B$7,$B$6)</x:f>
        <x:v>6</x:v>
      </x:c>
      <x:c r="E90" s="6" t="str">
        <x:f>IF(A90&gt;$B$4,"",SUMIFS('Sessions'!$F$2:$F$2,'Sessions'!$B$2:$B$2,A90,'Sessions'!$G$2:$G$2,"completed")/60)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progress",IF(COUNTIFS('Sessions'!$B$2:$B$2,A90,'Sessions'!$G$2:$G$2,"needs_confirmation")&gt;0,"Uncertain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IF(WEEKDAY(A91,2)&gt;5,$B$7,$B$6)</x:f>
        <x:v>6</x:v>
      </x:c>
      <x:c r="E91" s="6" t="str">
        <x:f>IF(A91&gt;$B$4,"",SUMIFS('Sessions'!$F$2:$F$2,'Sessions'!$B$2:$B$2,A91,'Sessions'!$G$2:$G$2,"completed")/60)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progress",IF(COUNTIFS('Sessions'!$B$2:$B$2,A91,'Sessions'!$G$2:$G$2,"needs_confirmation")&gt;0,"Uncertain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IF(WEEKDAY(A92,2)&gt;5,$B$7,$B$6)</x:f>
        <x:v>6</x:v>
      </x:c>
      <x:c r="E92" s="6" t="str">
        <x:f>IF(A92&gt;$B$4,"",SUMIFS('Sessions'!$F$2:$F$2,'Sessions'!$B$2:$B$2,A92,'Sessions'!$G$2:$G$2,"completed")/60)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progress",IF(COUNTIFS('Sessions'!$B$2:$B$2,A92,'Sessions'!$G$2:$G$2,"needs_confirmation")&gt;0,"Uncertain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IF(WEEKDAY(A93,2)&gt;5,$B$7,$B$6)</x:f>
        <x:v>6</x:v>
      </x:c>
      <x:c r="E93" s="6" t="str">
        <x:f>IF(A93&gt;$B$4,"",SUMIFS('Sessions'!$F$2:$F$2,'Sessions'!$B$2:$B$2,A93,'Sessions'!$G$2:$G$2,"completed")/60)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progress",IF(COUNTIFS('Sessions'!$B$2:$B$2,A93,'Sessions'!$G$2:$G$2,"needs_confirmation")&gt;0,"Uncertain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IF(WEEKDAY(A94,2)&gt;5,$B$7,$B$6)</x:f>
        <x:v>10</x:v>
      </x:c>
      <x:c r="E94" s="6" t="str">
        <x:f>IF(A94&gt;$B$4,"",SUMIFS('Sessions'!$F$2:$F$2,'Sessions'!$B$2:$B$2,A94,'Sessions'!$G$2:$G$2,"completed")/60)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progress",IF(COUNTIFS('Sessions'!$B$2:$B$2,A94,'Sessions'!$G$2:$G$2,"needs_confirmation")&gt;0,"Uncertain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IF(WEEKDAY(A95,2)&gt;5,$B$7,$B$6)</x:f>
        <x:v>10</x:v>
      </x:c>
      <x:c r="E95" s="6" t="str">
        <x:f>IF(A95&gt;$B$4,"",SUMIFS('Sessions'!$F$2:$F$2,'Sessions'!$B$2:$B$2,A95,'Sessions'!$G$2:$G$2,"completed")/60)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progress",IF(COUNTIFS('Sessions'!$B$2:$B$2,A95,'Sessions'!$G$2:$G$2,"needs_confirmation")&gt;0,"Uncertain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IF(WEEKDAY(A96,2)&gt;5,$B$7,$B$6)</x:f>
        <x:v>6</x:v>
      </x:c>
      <x:c r="E96" s="6" t="str">
        <x:f>IF(A96&gt;$B$4,"",SUMIFS('Sessions'!$F$2:$F$2,'Sessions'!$B$2:$B$2,A96,'Sessions'!$G$2:$G$2,"completed")/60)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progress",IF(COUNTIFS('Sessions'!$B$2:$B$2,A96,'Sessions'!$G$2:$G$2,"needs_confirmation")&gt;0,"Uncertain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IF(WEEKDAY(A97,2)&gt;5,$B$7,$B$6)</x:f>
        <x:v>6</x:v>
      </x:c>
      <x:c r="E97" s="6" t="str">
        <x:f>IF(A97&gt;$B$4,"",SUMIFS('Sessions'!$F$2:$F$2,'Sessions'!$B$2:$B$2,A97,'Sessions'!$G$2:$G$2,"completed")/60)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progress",IF(COUNTIFS('Sessions'!$B$2:$B$2,A97,'Sessions'!$G$2:$G$2,"needs_confirmation")&gt;0,"Uncertain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IF(WEEKDAY(A98,2)&gt;5,$B$7,$B$6)</x:f>
        <x:v>6</x:v>
      </x:c>
      <x:c r="E98" s="6" t="str">
        <x:f>IF(A98&gt;$B$4,"",SUMIFS('Sessions'!$F$2:$F$2,'Sessions'!$B$2:$B$2,A98,'Sessions'!$G$2:$G$2,"completed")/60)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progress",IF(COUNTIFS('Sessions'!$B$2:$B$2,A98,'Sessions'!$G$2:$G$2,"needs_confirmation")&gt;0,"Uncertain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IF(WEEKDAY(A99,2)&gt;5,$B$7,$B$6)</x:f>
        <x:v>6</x:v>
      </x:c>
      <x:c r="E99" s="6" t="str">
        <x:f>IF(A99&gt;$B$4,"",SUMIFS('Sessions'!$F$2:$F$2,'Sessions'!$B$2:$B$2,A99,'Sessions'!$G$2:$G$2,"completed")/60)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progress",IF(COUNTIFS('Sessions'!$B$2:$B$2,A99,'Sessions'!$G$2:$G$2,"needs_confirmation")&gt;0,"Uncertain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IF(WEEKDAY(A100,2)&gt;5,$B$7,$B$6)</x:f>
        <x:v>6</x:v>
      </x:c>
      <x:c r="E100" s="6" t="str">
        <x:f>IF(A100&gt;$B$4,"",SUMIFS('Sessions'!$F$2:$F$2,'Sessions'!$B$2:$B$2,A100,'Sessions'!$G$2:$G$2,"completed")/60)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progress",IF(COUNTIFS('Sessions'!$B$2:$B$2,A100,'Sessions'!$G$2:$G$2,"needs_confirmation")&gt;0,"Uncertain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IF(WEEKDAY(A101,2)&gt;5,$B$7,$B$6)</x:f>
        <x:v>10</x:v>
      </x:c>
      <x:c r="E101" s="6" t="str">
        <x:f>IF(A101&gt;$B$4,"",SUMIFS('Sessions'!$F$2:$F$2,'Sessions'!$B$2:$B$2,A101,'Sessions'!$G$2:$G$2,"completed")/60)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progress",IF(COUNTIFS('Sessions'!$B$2:$B$2,A101,'Sessions'!$G$2:$G$2,"needs_confirmation")&gt;0,"Uncertain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IF(WEEKDAY(A102,2)&gt;5,$B$7,$B$6)</x:f>
        <x:v>10</x:v>
      </x:c>
      <x:c r="E102" s="6" t="str">
        <x:f>IF(A102&gt;$B$4,"",SUMIFS('Sessions'!$F$2:$F$2,'Sessions'!$B$2:$B$2,A102,'Sessions'!$G$2:$G$2,"completed")/60)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progress",IF(COUNTIFS('Sessions'!$B$2:$B$2,A102,'Sessions'!$G$2:$G$2,"needs_confirmation")&gt;0,"Uncertain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IF(WEEKDAY(A103,2)&gt;5,$B$7,$B$6)</x:f>
        <x:v>6</x:v>
      </x:c>
      <x:c r="E103" s="6" t="str">
        <x:f>IF(A103&gt;$B$4,"",SUMIFS('Sessions'!$F$2:$F$2,'Sessions'!$B$2:$B$2,A103,'Sessions'!$G$2:$G$2,"completed")/60)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progress",IF(COUNTIFS('Sessions'!$B$2:$B$2,A103,'Sessions'!$G$2:$G$2,"needs_confirmation")&gt;0,"Uncertain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IF(WEEKDAY(A104,2)&gt;5,$B$7,$B$6)</x:f>
        <x:v>6</x:v>
      </x:c>
      <x:c r="E104" s="6" t="str">
        <x:f>IF(A104&gt;$B$4,"",SUMIFS('Sessions'!$F$2:$F$2,'Sessions'!$B$2:$B$2,A104,'Sessions'!$G$2:$G$2,"completed")/60)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progress",IF(COUNTIFS('Sessions'!$B$2:$B$2,A104,'Sessions'!$G$2:$G$2,"needs_confirmation")&gt;0,"Uncertain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IF(WEEKDAY(A105,2)&gt;5,$B$7,$B$6)</x:f>
        <x:v>6</x:v>
      </x:c>
      <x:c r="E105" s="6" t="str">
        <x:f>IF(A105&gt;$B$4,"",SUMIFS('Sessions'!$F$2:$F$2,'Sessions'!$B$2:$B$2,A105,'Sessions'!$G$2:$G$2,"completed")/60)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progress",IF(COUNTIFS('Sessions'!$B$2:$B$2,A105,'Sessions'!$G$2:$G$2,"needs_confirmation")&gt;0,"Uncertain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IF(WEEKDAY(A106,2)&gt;5,$B$7,$B$6)</x:f>
        <x:v>6</x:v>
      </x:c>
      <x:c r="E106" s="6" t="str">
        <x:f>IF(A106&gt;$B$4,"",SUMIFS('Sessions'!$F$2:$F$2,'Sessions'!$B$2:$B$2,A106,'Sessions'!$G$2:$G$2,"completed")/60)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progress",IF(COUNTIFS('Sessions'!$B$2:$B$2,A106,'Sessions'!$G$2:$G$2,"needs_confirmation")&gt;0,"Uncertain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IF(WEEKDAY(A107,2)&gt;5,$B$7,$B$6)</x:f>
        <x:v>6</x:v>
      </x:c>
      <x:c r="E107" s="6" t="str">
        <x:f>IF(A107&gt;$B$4,"",SUMIFS('Sessions'!$F$2:$F$2,'Sessions'!$B$2:$B$2,A107,'Sessions'!$G$2:$G$2,"completed")/60)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progress",IF(COUNTIFS('Sessions'!$B$2:$B$2,A107,'Sessions'!$G$2:$G$2,"needs_confirmation")&gt;0,"Uncertain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IF(WEEKDAY(A108,2)&gt;5,$B$7,$B$6)</x:f>
        <x:v>10</x:v>
      </x:c>
      <x:c r="E108" s="6" t="str">
        <x:f>IF(A108&gt;$B$4,"",SUMIFS('Sessions'!$F$2:$F$2,'Sessions'!$B$2:$B$2,A108,'Sessions'!$G$2:$G$2,"completed")/60)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progress",IF(COUNTIFS('Sessions'!$B$2:$B$2,A108,'Sessions'!$G$2:$G$2,"needs_confirmation")&gt;0,"Uncertain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IF(WEEKDAY(A109,2)&gt;5,$B$7,$B$6)</x:f>
        <x:v>10</x:v>
      </x:c>
      <x:c r="E109" s="6" t="str">
        <x:f>IF(A109&gt;$B$4,"",SUMIFS('Sessions'!$F$2:$F$2,'Sessions'!$B$2:$B$2,A109,'Sessions'!$G$2:$G$2,"completed")/60)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progress",IF(COUNTIFS('Sessions'!$B$2:$B$2,A109,'Sessions'!$G$2:$G$2,"needs_confirmation")&gt;0,"Uncertain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IF(WEEKDAY(A110,2)&gt;5,$B$7,$B$6)</x:f>
        <x:v>6</x:v>
      </x:c>
      <x:c r="E110" s="6" t="str">
        <x:f>IF(A110&gt;$B$4,"",SUMIFS('Sessions'!$F$2:$F$2,'Sessions'!$B$2:$B$2,A110,'Sessions'!$G$2:$G$2,"completed")/60)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progress",IF(COUNTIFS('Sessions'!$B$2:$B$2,A110,'Sessions'!$G$2:$G$2,"needs_confirmation")&gt;0,"Uncertain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IF(WEEKDAY(A111,2)&gt;5,$B$7,$B$6)</x:f>
        <x:v>6</x:v>
      </x:c>
      <x:c r="E111" s="6" t="str">
        <x:f>IF(A111&gt;$B$4,"",SUMIFS('Sessions'!$F$2:$F$2,'Sessions'!$B$2:$B$2,A111,'Sessions'!$G$2:$G$2,"completed")/60)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progress",IF(COUNTIFS('Sessions'!$B$2:$B$2,A111,'Sessions'!$G$2:$G$2,"needs_confirmation")&gt;0,"Uncertain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IF(WEEKDAY(A112,2)&gt;5,$B$7,$B$6)</x:f>
        <x:v>6</x:v>
      </x:c>
      <x:c r="E112" s="6" t="str">
        <x:f>IF(A112&gt;$B$4,"",SUMIFS('Sessions'!$F$2:$F$2,'Sessions'!$B$2:$B$2,A112,'Sessions'!$G$2:$G$2,"completed")/60)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progress",IF(COUNTIFS('Sessions'!$B$2:$B$2,A112,'Sessions'!$G$2:$G$2,"needs_confirmation")&gt;0,"Uncertain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IF(WEEKDAY(A113,2)&gt;5,$B$7,$B$6)</x:f>
        <x:v>6</x:v>
      </x:c>
      <x:c r="E113" s="6" t="str">
        <x:f>IF(A113&gt;$B$4,"",SUMIFS('Sessions'!$F$2:$F$2,'Sessions'!$B$2:$B$2,A113,'Sessions'!$G$2:$G$2,"completed")/60)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progress",IF(COUNTIFS('Sessions'!$B$2:$B$2,A113,'Sessions'!$G$2:$G$2,"needs_confirmation")&gt;0,"Uncertain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IF(WEEKDAY(A114,2)&gt;5,$B$7,$B$6)</x:f>
        <x:v>6</x:v>
      </x:c>
      <x:c r="E114" s="6" t="str">
        <x:f>IF(A114&gt;$B$4,"",SUMIFS('Sessions'!$F$2:$F$2,'Sessions'!$B$2:$B$2,A114,'Sessions'!$G$2:$G$2,"completed")/60)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progress",IF(COUNTIFS('Sessions'!$B$2:$B$2,A114,'Sessions'!$G$2:$G$2,"needs_confirmation")&gt;0,"Uncertain time",IF(E114=0,"No confirmed time","Logged"))))</x:f>
        <x:v>Future</x:v>
      </x:c>
    </x:row>
    <x:row r="115" ht="22" customHeight="1">
      <x:c r="A115" s="7" t="n">
        <x:v>46410</x:v>
      </x:c>
      <x:c r="B115" s="1" t="str">
        <x:v>Sat</x:v>
      </x:c>
      <x:c r="C115" s="7" t="n">
        <x:f>A115-WEEKDAY(A115,2)+1</x:f>
        <x:v>46405</x:v>
      </x:c>
      <x:c r="D115" s="6" t="n">
        <x:f>IF(WEEKDAY(A115,2)&gt;5,$B$7,$B$6)</x:f>
        <x:v>10</x:v>
      </x:c>
      <x:c r="E115" s="6" t="str">
        <x:f>IF(A115&gt;$B$4,"",SUMIFS('Sessions'!$F$2:$F$2,'Sessions'!$B$2:$B$2,A115,'Sessions'!$G$2:$G$2,"completed")/60)</x:f>
      </x:c>
      <x:c r="F115" s="6" t="str">
        <x:f>IF(A115&gt;=$B$4,"",MAX(D115-E115,0))</x:f>
      </x:c>
      <x:c r="G115" s="6" t="str">
        <x:f>IF(A115&gt;=$B$4,"",MAX(E115-D115,0))</x:f>
      </x:c>
      <x:c r="H115" s="6" t="str">
        <x:f>IF(A115&gt;=$B$4,"",SUM($D$15:D115))</x:f>
      </x:c>
      <x:c r="I115" s="6" t="str">
        <x:f>IF(A115&gt;$B$4,"",SUM($E$15:E115))</x:f>
      </x:c>
      <x:c r="J115" s="1" t="str">
        <x:f>IF(A115&gt;$B$4,"Future",IF(A115=$B$4,"In progress",IF(COUNTIFS('Sessions'!$B$2:$B$2,A115,'Sessions'!$G$2:$G$2,"needs_confirmation")&gt;0,"Uncertain time",IF(E115=0,"No confirmed time","Logged"))))</x:f>
        <x:v>Future</x:v>
      </x:c>
    </x:row>
    <x:row r="116" ht="22" customHeight="1">
      <x:c r="A116" s="7" t="n">
        <x:v>46411</x:v>
      </x:c>
      <x:c r="B116" s="1" t="str">
        <x:v>Sun</x:v>
      </x:c>
      <x:c r="C116" s="7" t="n">
        <x:f>A116-WEEKDAY(A116,2)+1</x:f>
        <x:v>46405</x:v>
      </x:c>
      <x:c r="D116" s="6" t="n">
        <x:f>IF(WEEKDAY(A116,2)&gt;5,$B$7,$B$6)</x:f>
        <x:v>10</x:v>
      </x:c>
      <x:c r="E116" s="6" t="str">
        <x:f>IF(A116&gt;$B$4,"",SUMIFS('Sessions'!$F$2:$F$2,'Sessions'!$B$2:$B$2,A116,'Sessions'!$G$2:$G$2,"completed")/60)</x:f>
      </x:c>
      <x:c r="F116" s="6" t="str">
        <x:f>IF(A116&gt;=$B$4,"",MAX(D116-E116,0))</x:f>
      </x:c>
      <x:c r="G116" s="6" t="str">
        <x:f>IF(A116&gt;=$B$4,"",MAX(E116-D116,0))</x:f>
      </x:c>
      <x:c r="H116" s="6" t="str">
        <x:f>IF(A116&gt;=$B$4,"",SUM($D$15:D116))</x:f>
      </x:c>
      <x:c r="I116" s="6" t="str">
        <x:f>IF(A116&gt;$B$4,"",SUM($E$15:E116))</x:f>
      </x:c>
      <x:c r="J116" s="1" t="str">
        <x:f>IF(A116&gt;$B$4,"Future",IF(A116=$B$4,"In progress",IF(COUNTIFS('Sessions'!$B$2:$B$2,A116,'Sessions'!$G$2:$G$2,"needs_confirmation")&gt;0,"Uncertain time",IF(E116=0,"No confirmed time","Logged"))))</x:f>
        <x:v>Future</x:v>
      </x:c>
    </x:row>
    <x:row r="117" ht="22" customHeight="1">
      <x:c r="A117" s="7" t="n">
        <x:v>46412</x:v>
      </x:c>
      <x:c r="B117" s="1" t="str">
        <x:v>Mon</x:v>
      </x:c>
      <x:c r="C117" s="7" t="n">
        <x:f>A117-WEEKDAY(A117,2)+1</x:f>
        <x:v>46412</x:v>
      </x:c>
      <x:c r="D117" s="6" t="n">
        <x:f>IF(WEEKDAY(A117,2)&gt;5,$B$7,$B$6)</x:f>
        <x:v>6</x:v>
      </x:c>
      <x:c r="E117" s="6" t="str">
        <x:f>IF(A117&gt;$B$4,"",SUMIFS('Sessions'!$F$2:$F$2,'Sessions'!$B$2:$B$2,A117,'Sessions'!$G$2:$G$2,"completed")/60)</x:f>
      </x:c>
      <x:c r="F117" s="6" t="str">
        <x:f>IF(A117&gt;=$B$4,"",MAX(D117-E117,0))</x:f>
      </x:c>
      <x:c r="G117" s="6" t="str">
        <x:f>IF(A117&gt;=$B$4,"",MAX(E117-D117,0))</x:f>
      </x:c>
      <x:c r="H117" s="6" t="str">
        <x:f>IF(A117&gt;=$B$4,"",SUM($D$15:D117))</x:f>
      </x:c>
      <x:c r="I117" s="6" t="str">
        <x:f>IF(A117&gt;$B$4,"",SUM($E$15:E117))</x:f>
      </x:c>
      <x:c r="J117" s="1" t="str">
        <x:f>IF(A117&gt;$B$4,"Future",IF(A117=$B$4,"In progress",IF(COUNTIFS('Sessions'!$B$2:$B$2,A117,'Sessions'!$G$2:$G$2,"needs_confirmation")&gt;0,"Uncertain time",IF(E117=0,"No confirmed time","Logged"))))</x:f>
        <x:v>Future</x:v>
      </x:c>
    </x:row>
    <x:row r="118" ht="22" customHeight="1">
      <x:c r="A118" s="7" t="n">
        <x:v>46413</x:v>
      </x:c>
      <x:c r="B118" s="1" t="str">
        <x:v>Tue</x:v>
      </x:c>
      <x:c r="C118" s="7" t="n">
        <x:f>A118-WEEKDAY(A118,2)+1</x:f>
        <x:v>46412</x:v>
      </x:c>
      <x:c r="D118" s="6" t="n">
        <x:f>IF(WEEKDAY(A118,2)&gt;5,$B$7,$B$6)</x:f>
        <x:v>6</x:v>
      </x:c>
      <x:c r="E118" s="6" t="str">
        <x:f>IF(A118&gt;$B$4,"",SUMIFS('Sessions'!$F$2:$F$2,'Sessions'!$B$2:$B$2,A118,'Sessions'!$G$2:$G$2,"completed")/60)</x:f>
      </x:c>
      <x:c r="F118" s="6" t="str">
        <x:f>IF(A118&gt;=$B$4,"",MAX(D118-E118,0))</x:f>
      </x:c>
      <x:c r="G118" s="6" t="str">
        <x:f>IF(A118&gt;=$B$4,"",MAX(E118-D118,0))</x:f>
      </x:c>
      <x:c r="H118" s="6" t="str">
        <x:f>IF(A118&gt;=$B$4,"",SUM($D$15:D118))</x:f>
      </x:c>
      <x:c r="I118" s="6" t="str">
        <x:f>IF(A118&gt;$B$4,"",SUM($E$15:E118))</x:f>
      </x:c>
      <x:c r="J118" s="1" t="str">
        <x:f>IF(A118&gt;$B$4,"Future",IF(A118=$B$4,"In progress",IF(COUNTIFS('Sessions'!$B$2:$B$2,A118,'Sessions'!$G$2:$G$2,"needs_confirmation")&gt;0,"Uncertain time",IF(E118=0,"No confirmed time","Logged"))))</x:f>
        <x:v>Future</x:v>
      </x:c>
    </x:row>
    <x:row r="119" ht="22" customHeight="1">
      <x:c r="A119" s="7" t="n">
        <x:v>46414</x:v>
      </x:c>
      <x:c r="B119" s="1" t="str">
        <x:v>Wed</x:v>
      </x:c>
      <x:c r="C119" s="7" t="n">
        <x:f>A119-WEEKDAY(A119,2)+1</x:f>
        <x:v>46412</x:v>
      </x:c>
      <x:c r="D119" s="6" t="n">
        <x:f>IF(WEEKDAY(A119,2)&gt;5,$B$7,$B$6)</x:f>
        <x:v>6</x:v>
      </x:c>
      <x:c r="E119" s="6" t="str">
        <x:f>IF(A119&gt;$B$4,"",SUMIFS('Sessions'!$F$2:$F$2,'Sessions'!$B$2:$B$2,A119,'Sessions'!$G$2:$G$2,"completed")/60)</x:f>
      </x:c>
      <x:c r="F119" s="6" t="str">
        <x:f>IF(A119&gt;=$B$4,"",MAX(D119-E119,0))</x:f>
      </x:c>
      <x:c r="G119" s="6" t="str">
        <x:f>IF(A119&gt;=$B$4,"",MAX(E119-D119,0))</x:f>
      </x:c>
      <x:c r="H119" s="6" t="str">
        <x:f>IF(A119&gt;=$B$4,"",SUM($D$15:D119))</x:f>
      </x:c>
      <x:c r="I119" s="6" t="str">
        <x:f>IF(A119&gt;$B$4,"",SUM($E$15:E119))</x:f>
      </x:c>
      <x:c r="J119" s="1" t="str">
        <x:f>IF(A119&gt;$B$4,"Future",IF(A119=$B$4,"In progress",IF(COUNTIFS('Sessions'!$B$2:$B$2,A119,'Sessions'!$G$2:$G$2,"needs_confirmation")&gt;0,"Uncertain time",IF(E119=0,"No confirmed time","Logged"))))</x:f>
        <x:v>Future</x:v>
      </x:c>
    </x:row>
    <x:row r="120" ht="22" customHeight="1">
      <x:c r="A120" s="7" t="n">
        <x:v>46415</x:v>
      </x:c>
      <x:c r="B120" s="1" t="str">
        <x:v>Thu</x:v>
      </x:c>
      <x:c r="C120" s="7" t="n">
        <x:f>A120-WEEKDAY(A120,2)+1</x:f>
        <x:v>46412</x:v>
      </x:c>
      <x:c r="D120" s="6" t="n">
        <x:f>IF(WEEKDAY(A120,2)&gt;5,$B$7,$B$6)</x:f>
        <x:v>6</x:v>
      </x:c>
      <x:c r="E120" s="6" t="str">
        <x:f>IF(A120&gt;$B$4,"",SUMIFS('Sessions'!$F$2:$F$2,'Sessions'!$B$2:$B$2,A120,'Sessions'!$G$2:$G$2,"completed")/60)</x:f>
      </x:c>
      <x:c r="F120" s="6" t="str">
        <x:f>IF(A120&gt;=$B$4,"",MAX(D120-E120,0))</x:f>
      </x:c>
      <x:c r="G120" s="6" t="str">
        <x:f>IF(A120&gt;=$B$4,"",MAX(E120-D120,0))</x:f>
      </x:c>
      <x:c r="H120" s="6" t="str">
        <x:f>IF(A120&gt;=$B$4,"",SUM($D$15:D120))</x:f>
      </x:c>
      <x:c r="I120" s="6" t="str">
        <x:f>IF(A120&gt;$B$4,"",SUM($E$15:E120))</x:f>
      </x:c>
      <x:c r="J120" s="1" t="str">
        <x:f>IF(A120&gt;$B$4,"Future",IF(A120=$B$4,"In progress",IF(COUNTIFS('Sessions'!$B$2:$B$2,A120,'Sessions'!$G$2:$G$2,"needs_confirmation")&gt;0,"Uncertain time",IF(E120=0,"No confirmed time","Logged"))))</x:f>
        <x:v>Future</x:v>
      </x:c>
    </x:row>
    <x:row r="121" ht="22" customHeight="1">
      <x:c r="A121" s="7" t="n">
        <x:v>46416</x:v>
      </x:c>
      <x:c r="B121" s="1" t="str">
        <x:v>Fri</x:v>
      </x:c>
      <x:c r="C121" s="7" t="n">
        <x:f>A121-WEEKDAY(A121,2)+1</x:f>
        <x:v>46412</x:v>
      </x:c>
      <x:c r="D121" s="6" t="n">
        <x:f>IF(WEEKDAY(A121,2)&gt;5,$B$7,$B$6)</x:f>
        <x:v>6</x:v>
      </x:c>
      <x:c r="E121" s="6" t="str">
        <x:f>IF(A121&gt;$B$4,"",SUMIFS('Sessions'!$F$2:$F$2,'Sessions'!$B$2:$B$2,A121,'Sessions'!$G$2:$G$2,"completed")/60)</x:f>
      </x:c>
      <x:c r="F121" s="6" t="str">
        <x:f>IF(A121&gt;=$B$4,"",MAX(D121-E121,0))</x:f>
      </x:c>
      <x:c r="G121" s="6" t="str">
        <x:f>IF(A121&gt;=$B$4,"",MAX(E121-D121,0))</x:f>
      </x:c>
      <x:c r="H121" s="6" t="str">
        <x:f>IF(A121&gt;=$B$4,"",SUM($D$15:D121))</x:f>
      </x:c>
      <x:c r="I121" s="6" t="str">
        <x:f>IF(A121&gt;$B$4,"",SUM($E$15:E121))</x:f>
      </x:c>
      <x:c r="J121" s="1" t="str">
        <x:f>IF(A121&gt;$B$4,"Future",IF(A121=$B$4,"In progress",IF(COUNTIFS('Sessions'!$B$2:$B$2,A121,'Sessions'!$G$2:$G$2,"needs_confirmation")&gt;0,"Uncertain time",IF(E121=0,"No confirmed time","Logged"))))</x:f>
        <x:v>Future</x:v>
      </x:c>
    </x:row>
    <x:row r="122" ht="22" customHeight="1">
      <x:c r="A122" s="7" t="n">
        <x:v>46417</x:v>
      </x:c>
      <x:c r="B122" s="1" t="str">
        <x:v>Sat</x:v>
      </x:c>
      <x:c r="C122" s="7" t="n">
        <x:f>A122-WEEKDAY(A122,2)+1</x:f>
        <x:v>46412</x:v>
      </x:c>
      <x:c r="D122" s="6" t="n">
        <x:f>IF(WEEKDAY(A122,2)&gt;5,$B$7,$B$6)</x:f>
        <x:v>10</x:v>
      </x:c>
      <x:c r="E122" s="6" t="str">
        <x:f>IF(A122&gt;$B$4,"",SUMIFS('Sessions'!$F$2:$F$2,'Sessions'!$B$2:$B$2,A122,'Sessions'!$G$2:$G$2,"completed")/60)</x:f>
      </x:c>
      <x:c r="F122" s="6" t="str">
        <x:f>IF(A122&gt;=$B$4,"",MAX(D122-E122,0))</x:f>
      </x:c>
      <x:c r="G122" s="6" t="str">
        <x:f>IF(A122&gt;=$B$4,"",MAX(E122-D122,0))</x:f>
      </x:c>
      <x:c r="H122" s="6" t="str">
        <x:f>IF(A122&gt;=$B$4,"",SUM($D$15:D122))</x:f>
      </x:c>
      <x:c r="I122" s="6" t="str">
        <x:f>IF(A122&gt;$B$4,"",SUM($E$15:E122))</x:f>
      </x:c>
      <x:c r="J122" s="1" t="str">
        <x:f>IF(A122&gt;$B$4,"Future",IF(A122=$B$4,"In progress",IF(COUNTIFS('Sessions'!$B$2:$B$2,A122,'Sessions'!$G$2:$G$2,"needs_confirmation")&gt;0,"Uncertain time",IF(E122=0,"No confirmed time","Logged"))))</x:f>
        <x:v>Future</x:v>
      </x:c>
    </x:row>
    <x:row r="123" ht="22" customHeight="1">
      <x:c r="A123" s="7" t="n">
        <x:v>46418</x:v>
      </x:c>
      <x:c r="B123" s="1" t="str">
        <x:v>Sun</x:v>
      </x:c>
      <x:c r="C123" s="7" t="n">
        <x:f>A123-WEEKDAY(A123,2)+1</x:f>
        <x:v>46412</x:v>
      </x:c>
      <x:c r="D123" s="6" t="n">
        <x:f>IF(WEEKDAY(A123,2)&gt;5,$B$7,$B$6)</x:f>
        <x:v>10</x:v>
      </x:c>
      <x:c r="E123" s="6" t="str">
        <x:f>IF(A123&gt;$B$4,"",SUMIFS('Sessions'!$F$2:$F$2,'Sessions'!$B$2:$B$2,A123,'Sessions'!$G$2:$G$2,"completed")/60)</x:f>
      </x:c>
      <x:c r="F123" s="6" t="str">
        <x:f>IF(A123&gt;=$B$4,"",MAX(D123-E123,0))</x:f>
      </x:c>
      <x:c r="G123" s="6" t="str">
        <x:f>IF(A123&gt;=$B$4,"",MAX(E123-D123,0))</x:f>
      </x:c>
      <x:c r="H123" s="6" t="str">
        <x:f>IF(A123&gt;=$B$4,"",SUM($D$15:D123))</x:f>
      </x:c>
      <x:c r="I123" s="6" t="str">
        <x:f>IF(A123&gt;$B$4,"",SUM($E$15:E123))</x:f>
      </x:c>
      <x:c r="J123" s="1" t="str">
        <x:f>IF(A123&gt;$B$4,"Future",IF(A123=$B$4,"In progress",IF(COUNTIFS('Sessions'!$B$2:$B$2,A123,'Sessions'!$G$2:$G$2,"needs_confirmation")&gt;0,"Uncertain time",IF(E123=0,"No confirmed time","Logged"))))</x:f>
        <x:v>Future</x:v>
      </x:c>
    </x:row>
    <x:row r="124" ht="22" customHeight="1">
      <x:c r="A124" s="7" t="n">
        <x:v>46419</x:v>
      </x:c>
      <x:c r="B124" s="1" t="str">
        <x:v>Mon</x:v>
      </x:c>
      <x:c r="C124" s="7" t="n">
        <x:f>A124-WEEKDAY(A124,2)+1</x:f>
        <x:v>46419</x:v>
      </x:c>
      <x:c r="D124" s="6" t="n">
        <x:f>IF(WEEKDAY(A124,2)&gt;5,$B$7,$B$6)</x:f>
        <x:v>6</x:v>
      </x:c>
      <x:c r="E124" s="6" t="str">
        <x:f>IF(A124&gt;$B$4,"",SUMIFS('Sessions'!$F$2:$F$2,'Sessions'!$B$2:$B$2,A124,'Sessions'!$G$2:$G$2,"completed")/60)</x:f>
      </x:c>
      <x:c r="F124" s="6" t="str">
        <x:f>IF(A124&gt;=$B$4,"",MAX(D124-E124,0))</x:f>
      </x:c>
      <x:c r="G124" s="6" t="str">
        <x:f>IF(A124&gt;=$B$4,"",MAX(E124-D124,0))</x:f>
      </x:c>
      <x:c r="H124" s="6" t="str">
        <x:f>IF(A124&gt;=$B$4,"",SUM($D$15:D124))</x:f>
      </x:c>
      <x:c r="I124" s="6" t="str">
        <x:f>IF(A124&gt;$B$4,"",SUM($E$15:E124))</x:f>
      </x:c>
      <x:c r="J124" s="1" t="str">
        <x:f>IF(A124&gt;$B$4,"Future",IF(A124=$B$4,"In progress",IF(COUNTIFS('Sessions'!$B$2:$B$2,A124,'Sessions'!$G$2:$G$2,"needs_confirmation")&gt;0,"Uncertain time",IF(E124=0,"No confirmed time","Logged"))))</x:f>
        <x:v>Future</x:v>
      </x:c>
    </x:row>
    <x:row r="125" ht="22" customHeight="1">
      <x:c r="A125" s="7" t="n">
        <x:v>46420</x:v>
      </x:c>
      <x:c r="B125" s="1" t="str">
        <x:v>Tue</x:v>
      </x:c>
      <x:c r="C125" s="7" t="n">
        <x:f>A125-WEEKDAY(A125,2)+1</x:f>
        <x:v>46419</x:v>
      </x:c>
      <x:c r="D125" s="6" t="n">
        <x:f>IF(WEEKDAY(A125,2)&gt;5,$B$7,$B$6)</x:f>
        <x:v>6</x:v>
      </x:c>
      <x:c r="E125" s="6" t="str">
        <x:f>IF(A125&gt;$B$4,"",SUMIFS('Sessions'!$F$2:$F$2,'Sessions'!$B$2:$B$2,A125,'Sessions'!$G$2:$G$2,"completed")/60)</x:f>
      </x:c>
      <x:c r="F125" s="6" t="str">
        <x:f>IF(A125&gt;=$B$4,"",MAX(D125-E125,0))</x:f>
      </x:c>
      <x:c r="G125" s="6" t="str">
        <x:f>IF(A125&gt;=$B$4,"",MAX(E125-D125,0))</x:f>
      </x:c>
      <x:c r="H125" s="6" t="str">
        <x:f>IF(A125&gt;=$B$4,"",SUM($D$15:D125))</x:f>
      </x:c>
      <x:c r="I125" s="6" t="str">
        <x:f>IF(A125&gt;$B$4,"",SUM($E$15:E125))</x:f>
      </x:c>
      <x:c r="J125" s="1" t="str">
        <x:f>IF(A125&gt;$B$4,"Future",IF(A125=$B$4,"In progress",IF(COUNTIFS('Sessions'!$B$2:$B$2,A125,'Sessions'!$G$2:$G$2,"needs_confirmation")&gt;0,"Uncertain time",IF(E125=0,"No confirmed time","Logged"))))</x:f>
        <x:v>Future</x:v>
      </x:c>
    </x:row>
    <x:row r="126" ht="22" customHeight="1">
      <x:c r="A126" s="7" t="n">
        <x:v>46421</x:v>
      </x:c>
      <x:c r="B126" s="1" t="str">
        <x:v>Wed</x:v>
      </x:c>
      <x:c r="C126" s="7" t="n">
        <x:f>A126-WEEKDAY(A126,2)+1</x:f>
        <x:v>46419</x:v>
      </x:c>
      <x:c r="D126" s="6" t="n">
        <x:f>IF(WEEKDAY(A126,2)&gt;5,$B$7,$B$6)</x:f>
        <x:v>6</x:v>
      </x:c>
      <x:c r="E126" s="6" t="str">
        <x:f>IF(A126&gt;$B$4,"",SUMIFS('Sessions'!$F$2:$F$2,'Sessions'!$B$2:$B$2,A126,'Sessions'!$G$2:$G$2,"completed")/60)</x:f>
      </x:c>
      <x:c r="F126" s="6" t="str">
        <x:f>IF(A126&gt;=$B$4,"",MAX(D126-E126,0))</x:f>
      </x:c>
      <x:c r="G126" s="6" t="str">
        <x:f>IF(A126&gt;=$B$4,"",MAX(E126-D126,0))</x:f>
      </x:c>
      <x:c r="H126" s="6" t="str">
        <x:f>IF(A126&gt;=$B$4,"",SUM($D$15:D126))</x:f>
      </x:c>
      <x:c r="I126" s="6" t="str">
        <x:f>IF(A126&gt;$B$4,"",SUM($E$15:E126))</x:f>
      </x:c>
      <x:c r="J126" s="1" t="str">
        <x:f>IF(A126&gt;$B$4,"Future",IF(A126=$B$4,"In progress",IF(COUNTIFS('Sessions'!$B$2:$B$2,A126,'Sessions'!$G$2:$G$2,"needs_confirmation")&gt;0,"Uncertain time",IF(E126=0,"No confirmed time","Logged"))))</x:f>
        <x:v>Future</x:v>
      </x:c>
    </x:row>
    <x:row r="127" ht="22" customHeight="1">
      <x:c r="A127" s="7" t="n">
        <x:v>46422</x:v>
      </x:c>
      <x:c r="B127" s="1" t="str">
        <x:v>Thu</x:v>
      </x:c>
      <x:c r="C127" s="7" t="n">
        <x:f>A127-WEEKDAY(A127,2)+1</x:f>
        <x:v>46419</x:v>
      </x:c>
      <x:c r="D127" s="6" t="n">
        <x:f>IF(WEEKDAY(A127,2)&gt;5,$B$7,$B$6)</x:f>
        <x:v>6</x:v>
      </x:c>
      <x:c r="E127" s="6" t="str">
        <x:f>IF(A127&gt;$B$4,"",SUMIFS('Sessions'!$F$2:$F$2,'Sessions'!$B$2:$B$2,A127,'Sessions'!$G$2:$G$2,"completed")/60)</x:f>
      </x:c>
      <x:c r="F127" s="6" t="str">
        <x:f>IF(A127&gt;=$B$4,"",MAX(D127-E127,0))</x:f>
      </x:c>
      <x:c r="G127" s="6" t="str">
        <x:f>IF(A127&gt;=$B$4,"",MAX(E127-D127,0))</x:f>
      </x:c>
      <x:c r="H127" s="6" t="str">
        <x:f>IF(A127&gt;=$B$4,"",SUM($D$15:D127))</x:f>
      </x:c>
      <x:c r="I127" s="6" t="str">
        <x:f>IF(A127&gt;$B$4,"",SUM($E$15:E127))</x:f>
      </x:c>
      <x:c r="J127" s="1" t="str">
        <x:f>IF(A127&gt;$B$4,"Future",IF(A127=$B$4,"In progress",IF(COUNTIFS('Sessions'!$B$2:$B$2,A127,'Sessions'!$G$2:$G$2,"needs_confirmation")&gt;0,"Uncertain time",IF(E127=0,"No confirmed time","Logged"))))</x:f>
        <x:v>Future</x:v>
      </x:c>
    </x:row>
    <x:row r="128" ht="22" customHeight="1">
      <x:c r="A128" s="7" t="n">
        <x:v>46423</x:v>
      </x:c>
      <x:c r="B128" s="1" t="str">
        <x:v>Fri</x:v>
      </x:c>
      <x:c r="C128" s="7" t="n">
        <x:f>A128-WEEKDAY(A128,2)+1</x:f>
        <x:v>46419</x:v>
      </x:c>
      <x:c r="D128" s="6" t="n">
        <x:f>IF(WEEKDAY(A128,2)&gt;5,$B$7,$B$6)</x:f>
        <x:v>6</x:v>
      </x:c>
      <x:c r="E128" s="6" t="str">
        <x:f>IF(A128&gt;$B$4,"",SUMIFS('Sessions'!$F$2:$F$2,'Sessions'!$B$2:$B$2,A128,'Sessions'!$G$2:$G$2,"completed")/60)</x:f>
      </x:c>
      <x:c r="F128" s="6" t="str">
        <x:f>IF(A128&gt;=$B$4,"",MAX(D128-E128,0))</x:f>
      </x:c>
      <x:c r="G128" s="6" t="str">
        <x:f>IF(A128&gt;=$B$4,"",MAX(E128-D128,0))</x:f>
      </x:c>
      <x:c r="H128" s="6" t="str">
        <x:f>IF(A128&gt;=$B$4,"",SUM($D$15:D128))</x:f>
      </x:c>
      <x:c r="I128" s="6" t="str">
        <x:f>IF(A128&gt;$B$4,"",SUM($E$15:E128))</x:f>
      </x:c>
      <x:c r="J128" s="1" t="str">
        <x:f>IF(A128&gt;$B$4,"Future",IF(A128=$B$4,"In progress",IF(COUNTIFS('Sessions'!$B$2:$B$2,A128,'Sessions'!$G$2:$G$2,"needs_confirmation")&gt;0,"Uncertain time",IF(E128=0,"No confirmed time","Logged"))))</x:f>
        <x:v>Future</x:v>
      </x:c>
    </x:row>
    <x:row r="129" ht="22" customHeight="1">
      <x:c r="A129" s="7" t="n">
        <x:v>46424</x:v>
      </x:c>
      <x:c r="B129" s="1" t="str">
        <x:v>Sat</x:v>
      </x:c>
      <x:c r="C129" s="7" t="n">
        <x:f>A129-WEEKDAY(A129,2)+1</x:f>
        <x:v>46419</x:v>
      </x:c>
      <x:c r="D129" s="6" t="n">
        <x:f>IF(WEEKDAY(A129,2)&gt;5,$B$7,$B$6)</x:f>
        <x:v>10</x:v>
      </x:c>
      <x:c r="E129" s="6" t="str">
        <x:f>IF(A129&gt;$B$4,"",SUMIFS('Sessions'!$F$2:$F$2,'Sessions'!$B$2:$B$2,A129,'Sessions'!$G$2:$G$2,"completed")/60)</x:f>
      </x:c>
      <x:c r="F129" s="6" t="str">
        <x:f>IF(A129&gt;=$B$4,"",MAX(D129-E129,0))</x:f>
      </x:c>
      <x:c r="G129" s="6" t="str">
        <x:f>IF(A129&gt;=$B$4,"",MAX(E129-D129,0))</x:f>
      </x:c>
      <x:c r="H129" s="6" t="str">
        <x:f>IF(A129&gt;=$B$4,"",SUM($D$15:D129))</x:f>
      </x:c>
      <x:c r="I129" s="6" t="str">
        <x:f>IF(A129&gt;$B$4,"",SUM($E$15:E129))</x:f>
      </x:c>
      <x:c r="J129" s="1" t="str">
        <x:f>IF(A129&gt;$B$4,"Future",IF(A129=$B$4,"In progress",IF(COUNTIFS('Sessions'!$B$2:$B$2,A129,'Sessions'!$G$2:$G$2,"needs_confirmation")&gt;0,"Uncertain time",IF(E129=0,"No confirmed time","Logged"))))</x:f>
        <x:v>Future</x:v>
      </x:c>
    </x:row>
    <x:row r="130" ht="22" customHeight="1">
      <x:c r="A130" s="7" t="n">
        <x:v>46425</x:v>
      </x:c>
      <x:c r="B130" s="1" t="str">
        <x:v>Sun</x:v>
      </x:c>
      <x:c r="C130" s="7" t="n">
        <x:f>A130-WEEKDAY(A130,2)+1</x:f>
        <x:v>46419</x:v>
      </x:c>
      <x:c r="D130" s="6" t="n">
        <x:f>IF(WEEKDAY(A130,2)&gt;5,$B$7,$B$6)</x:f>
        <x:v>10</x:v>
      </x:c>
      <x:c r="E130" s="6" t="str">
        <x:f>IF(A130&gt;$B$4,"",SUMIFS('Sessions'!$F$2:$F$2,'Sessions'!$B$2:$B$2,A130,'Sessions'!$G$2:$G$2,"completed")/60)</x:f>
      </x:c>
      <x:c r="F130" s="6" t="str">
        <x:f>IF(A130&gt;=$B$4,"",MAX(D130-E130,0))</x:f>
      </x:c>
      <x:c r="G130" s="6" t="str">
        <x:f>IF(A130&gt;=$B$4,"",MAX(E130-D130,0))</x:f>
      </x:c>
      <x:c r="H130" s="6" t="str">
        <x:f>IF(A130&gt;=$B$4,"",SUM($D$15:D130))</x:f>
      </x:c>
      <x:c r="I130" s="6" t="str">
        <x:f>IF(A130&gt;$B$4,"",SUM($E$15:E130))</x:f>
      </x:c>
      <x:c r="J130" s="1" t="str">
        <x:f>IF(A130&gt;$B$4,"Future",IF(A130=$B$4,"In progress",IF(COUNTIFS('Sessions'!$B$2:$B$2,A130,'Sessions'!$G$2:$G$2,"needs_confirmation")&gt;0,"Uncertain time",IF(E130=0,"No confirmed time","Logged"))))</x:f>
        <x:v>Future</x:v>
      </x:c>
    </x:row>
  </x:sheetData>
  <x:conditionalFormatting sqref="F15:F130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Monday–Sunday. First week starts tracking on 15 Oct: 32 h; full weeks: 50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SUMIFS('Daily'!$D$15:$D$130,'Daily'!$C$15:$C$130,A8)</x:f>
        <x:v>32</x:v>
      </x:c>
      <x:c r="C8" s="6" t="n">
        <x:f>SUMIFS('Daily'!$D$15:$D$130,'Daily'!$C$15:$C$130,A8,'Daily'!$A$15:$A$130,"&lt;"&amp;'Daily'!$B$4)</x:f>
        <x:v>0</x:v>
      </x:c>
      <x:c r="D8" s="6" t="n">
        <x:f>SUMIFS('Daily'!$E$15:$E$130,'Daily'!$C$15:$C$130,A8)</x:f>
        <x:v>0</x:v>
      </x:c>
      <x:c r="E8" s="6" t="n">
        <x:f>MAX(C8-SUMIFS('Daily'!$E$15:$E$130,'Daily'!$C$15:$C$130,A8,'Daily'!$A$15:$A$130,"&lt;"&amp;'Daily'!$B$4),0)</x:f>
        <x:v>0</x:v>
      </x:c>
      <x:c r="F8" s="6" t="n">
        <x:f>MAX(SUMIFS('Daily'!$E$15:$E$130,'Daily'!$C$15:$C$130,A8,'Daily'!$A$15:$A$130,"&lt;"&amp;'Daily'!$B$4)-C8,0)</x:f>
        <x:v>0</x:v>
      </x:c>
      <x:c r="G8" s="6" t="n">
        <x:f>MAX(B8-D8,0)</x:f>
        <x:v>32</x:v>
      </x:c>
      <x:c r="H8" s="10" t="n">
        <x:f>IF(B8=0,0,D8/B8)</x:f>
        <x:v>0</x:v>
      </x:c>
    </x:row>
    <x:row r="9" ht="22" customHeight="1">
      <x:c r="A9" s="7" t="n">
        <x:v>46314</x:v>
      </x:c>
      <x:c r="B9" s="6" t="n">
        <x:f>SUMIFS('Daily'!$D$15:$D$130,'Daily'!$C$15:$C$130,A9)</x:f>
        <x:v>50</x:v>
      </x:c>
      <x:c r="C9" s="6" t="n">
        <x:f>SUMIFS('Daily'!$D$15:$D$130,'Daily'!$C$15:$C$130,A9,'Daily'!$A$15:$A$130,"&lt;"&amp;'Daily'!$B$4)</x:f>
        <x:v>0</x:v>
      </x:c>
      <x:c r="D9" s="6" t="n">
        <x:f>SUMIFS('Daily'!$E$15:$E$130,'Daily'!$C$15:$C$130,A9)</x:f>
        <x:v>0</x:v>
      </x:c>
      <x:c r="E9" s="6" t="n">
        <x:f>MAX(C9-SUMIFS('Daily'!$E$15:$E$130,'Daily'!$C$15:$C$130,A9,'Daily'!$A$15:$A$130,"&lt;"&amp;'Daily'!$B$4),0)</x:f>
        <x:v>0</x:v>
      </x:c>
      <x:c r="F9" s="6" t="n">
        <x:f>MAX(SUMIFS('Daily'!$E$15:$E$130,'Daily'!$C$15:$C$130,A9,'Daily'!$A$15:$A$130,"&lt;"&amp;'Daily'!$B$4)-C9,0)</x:f>
        <x:v>0</x:v>
      </x:c>
      <x:c r="G9" s="6" t="n">
        <x:f>MAX(B9-D9,0)</x:f>
        <x:v>50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SUMIFS('Daily'!$D$15:$D$130,'Daily'!$C$15:$C$130,A10)</x:f>
        <x:v>50</x:v>
      </x:c>
      <x:c r="C10" s="6" t="n">
        <x:f>SUMIFS('Daily'!$D$15:$D$130,'Daily'!$C$15:$C$130,A10,'Daily'!$A$15:$A$130,"&lt;"&amp;'Daily'!$B$4)</x:f>
        <x:v>0</x:v>
      </x:c>
      <x:c r="D10" s="6" t="n">
        <x:f>SUMIFS('Daily'!$E$15:$E$130,'Daily'!$C$15:$C$130,A10)</x:f>
        <x:v>0</x:v>
      </x:c>
      <x:c r="E10" s="6" t="n">
        <x:f>MAX(C10-SUMIFS('Daily'!$E$15:$E$130,'Daily'!$C$15:$C$130,A10,'Daily'!$A$15:$A$130,"&lt;"&amp;'Daily'!$B$4),0)</x:f>
        <x:v>0</x:v>
      </x:c>
      <x:c r="F10" s="6" t="n">
        <x:f>MAX(SUMIFS('Daily'!$E$15:$E$130,'Daily'!$C$15:$C$130,A10,'Daily'!$A$15:$A$130,"&lt;"&amp;'Daily'!$B$4)-C10,0)</x:f>
        <x:v>0</x:v>
      </x:c>
      <x:c r="G10" s="6" t="n">
        <x:f>MAX(B10-D10,0)</x:f>
        <x:v>50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SUMIFS('Daily'!$D$15:$D$130,'Daily'!$C$15:$C$130,A11)</x:f>
        <x:v>50</x:v>
      </x:c>
      <x:c r="C11" s="6" t="n">
        <x:f>SUMIFS('Daily'!$D$15:$D$130,'Daily'!$C$15:$C$130,A11,'Daily'!$A$15:$A$130,"&lt;"&amp;'Daily'!$B$4)</x:f>
        <x:v>0</x:v>
      </x:c>
      <x:c r="D11" s="6" t="n">
        <x:f>SUMIFS('Daily'!$E$15:$E$130,'Daily'!$C$15:$C$130,A11)</x:f>
        <x:v>0</x:v>
      </x:c>
      <x:c r="E11" s="6" t="n">
        <x:f>MAX(C11-SUMIFS('Daily'!$E$15:$E$130,'Daily'!$C$15:$C$130,A11,'Daily'!$A$15:$A$130,"&lt;"&amp;'Daily'!$B$4),0)</x:f>
        <x:v>0</x:v>
      </x:c>
      <x:c r="F11" s="6" t="n">
        <x:f>MAX(SUMIFS('Daily'!$E$15:$E$130,'Daily'!$C$15:$C$130,A11,'Daily'!$A$15:$A$130,"&lt;"&amp;'Daily'!$B$4)-C11,0)</x:f>
        <x:v>0</x:v>
      </x:c>
      <x:c r="G11" s="6" t="n">
        <x:f>MAX(B11-D11,0)</x:f>
        <x:v>50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SUMIFS('Daily'!$D$15:$D$130,'Daily'!$C$15:$C$130,A12)</x:f>
        <x:v>50</x:v>
      </x:c>
      <x:c r="C12" s="6" t="n">
        <x:f>SUMIFS('Daily'!$D$15:$D$130,'Daily'!$C$15:$C$130,A12,'Daily'!$A$15:$A$130,"&lt;"&amp;'Daily'!$B$4)</x:f>
        <x:v>0</x:v>
      </x:c>
      <x:c r="D12" s="6" t="n">
        <x:f>SUMIFS('Daily'!$E$15:$E$130,'Daily'!$C$15:$C$130,A12)</x:f>
        <x:v>0</x:v>
      </x:c>
      <x:c r="E12" s="6" t="n">
        <x:f>MAX(C12-SUMIFS('Daily'!$E$15:$E$130,'Daily'!$C$15:$C$130,A12,'Daily'!$A$15:$A$130,"&lt;"&amp;'Daily'!$B$4),0)</x:f>
        <x:v>0</x:v>
      </x:c>
      <x:c r="F12" s="6" t="n">
        <x:f>MAX(SUMIFS('Daily'!$E$15:$E$130,'Daily'!$C$15:$C$130,A12,'Daily'!$A$15:$A$130,"&lt;"&amp;'Daily'!$B$4)-C12,0)</x:f>
        <x:v>0</x:v>
      </x:c>
      <x:c r="G12" s="6" t="n">
        <x:f>MAX(B12-D12,0)</x:f>
        <x:v>50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SUMIFS('Daily'!$D$15:$D$130,'Daily'!$C$15:$C$130,A13)</x:f>
        <x:v>50</x:v>
      </x:c>
      <x:c r="C13" s="6" t="n">
        <x:f>SUMIFS('Daily'!$D$15:$D$130,'Daily'!$C$15:$C$130,A13,'Daily'!$A$15:$A$130,"&lt;"&amp;'Daily'!$B$4)</x:f>
        <x:v>0</x:v>
      </x:c>
      <x:c r="D13" s="6" t="n">
        <x:f>SUMIFS('Daily'!$E$15:$E$130,'Daily'!$C$15:$C$130,A13)</x:f>
        <x:v>0</x:v>
      </x:c>
      <x:c r="E13" s="6" t="n">
        <x:f>MAX(C13-SUMIFS('Daily'!$E$15:$E$130,'Daily'!$C$15:$C$130,A13,'Daily'!$A$15:$A$130,"&lt;"&amp;'Daily'!$B$4),0)</x:f>
        <x:v>0</x:v>
      </x:c>
      <x:c r="F13" s="6" t="n">
        <x:f>MAX(SUMIFS('Daily'!$E$15:$E$130,'Daily'!$C$15:$C$130,A13,'Daily'!$A$15:$A$130,"&lt;"&amp;'Daily'!$B$4)-C13,0)</x:f>
        <x:v>0</x:v>
      </x:c>
      <x:c r="G13" s="6" t="n">
        <x:f>MAX(B13-D13,0)</x:f>
        <x:v>50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SUMIFS('Daily'!$D$15:$D$130,'Daily'!$C$15:$C$130,A14)</x:f>
        <x:v>50</x:v>
      </x:c>
      <x:c r="C14" s="6" t="n">
        <x:f>SUMIFS('Daily'!$D$15:$D$130,'Daily'!$C$15:$C$130,A14,'Daily'!$A$15:$A$130,"&lt;"&amp;'Daily'!$B$4)</x:f>
        <x:v>0</x:v>
      </x:c>
      <x:c r="D14" s="6" t="n">
        <x:f>SUMIFS('Daily'!$E$15:$E$130,'Daily'!$C$15:$C$130,A14)</x:f>
        <x:v>0</x:v>
      </x:c>
      <x:c r="E14" s="6" t="n">
        <x:f>MAX(C14-SUMIFS('Daily'!$E$15:$E$130,'Daily'!$C$15:$C$130,A14,'Daily'!$A$15:$A$130,"&lt;"&amp;'Daily'!$B$4),0)</x:f>
        <x:v>0</x:v>
      </x:c>
      <x:c r="F14" s="6" t="n">
        <x:f>MAX(SUMIFS('Daily'!$E$15:$E$130,'Daily'!$C$15:$C$130,A14,'Daily'!$A$15:$A$130,"&lt;"&amp;'Daily'!$B$4)-C14,0)</x:f>
        <x:v>0</x:v>
      </x:c>
      <x:c r="G14" s="6" t="n">
        <x:f>MAX(B14-D14,0)</x:f>
        <x:v>50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SUMIFS('Daily'!$D$15:$D$130,'Daily'!$C$15:$C$130,A15)</x:f>
        <x:v>50</x:v>
      </x:c>
      <x:c r="C15" s="6" t="n">
        <x:f>SUMIFS('Daily'!$D$15:$D$130,'Daily'!$C$15:$C$130,A15,'Daily'!$A$15:$A$130,"&lt;"&amp;'Daily'!$B$4)</x:f>
        <x:v>0</x:v>
      </x:c>
      <x:c r="D15" s="6" t="n">
        <x:f>SUMIFS('Daily'!$E$15:$E$130,'Daily'!$C$15:$C$130,A15)</x:f>
        <x:v>0</x:v>
      </x:c>
      <x:c r="E15" s="6" t="n">
        <x:f>MAX(C15-SUMIFS('Daily'!$E$15:$E$130,'Daily'!$C$15:$C$130,A15,'Daily'!$A$15:$A$130,"&lt;"&amp;'Daily'!$B$4),0)</x:f>
        <x:v>0</x:v>
      </x:c>
      <x:c r="F15" s="6" t="n">
        <x:f>MAX(SUMIFS('Daily'!$E$15:$E$130,'Daily'!$C$15:$C$130,A15,'Daily'!$A$15:$A$130,"&lt;"&amp;'Daily'!$B$4)-C15,0)</x:f>
        <x:v>0</x:v>
      </x:c>
      <x:c r="G15" s="6" t="n">
        <x:f>MAX(B15-D15,0)</x:f>
        <x:v>50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SUMIFS('Daily'!$D$15:$D$130,'Daily'!$C$15:$C$130,A16)</x:f>
        <x:v>50</x:v>
      </x:c>
      <x:c r="C16" s="6" t="n">
        <x:f>SUMIFS('Daily'!$D$15:$D$130,'Daily'!$C$15:$C$130,A16,'Daily'!$A$15:$A$130,"&lt;"&amp;'Daily'!$B$4)</x:f>
        <x:v>0</x:v>
      </x:c>
      <x:c r="D16" s="6" t="n">
        <x:f>SUMIFS('Daily'!$E$15:$E$130,'Daily'!$C$15:$C$130,A16)</x:f>
        <x:v>0</x:v>
      </x:c>
      <x:c r="E16" s="6" t="n">
        <x:f>MAX(C16-SUMIFS('Daily'!$E$15:$E$130,'Daily'!$C$15:$C$130,A16,'Daily'!$A$15:$A$130,"&lt;"&amp;'Daily'!$B$4),0)</x:f>
        <x:v>0</x:v>
      </x:c>
      <x:c r="F16" s="6" t="n">
        <x:f>MAX(SUMIFS('Daily'!$E$15:$E$130,'Daily'!$C$15:$C$130,A16,'Daily'!$A$15:$A$130,"&lt;"&amp;'Daily'!$B$4)-C16,0)</x:f>
        <x:v>0</x:v>
      </x:c>
      <x:c r="G16" s="6" t="n">
        <x:f>MAX(B16-D16,0)</x:f>
        <x:v>50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SUMIFS('Daily'!$D$15:$D$130,'Daily'!$C$15:$C$130,A17)</x:f>
        <x:v>50</x:v>
      </x:c>
      <x:c r="C17" s="6" t="n">
        <x:f>SUMIFS('Daily'!$D$15:$D$130,'Daily'!$C$15:$C$130,A17,'Daily'!$A$15:$A$130,"&lt;"&amp;'Daily'!$B$4)</x:f>
        <x:v>0</x:v>
      </x:c>
      <x:c r="D17" s="6" t="n">
        <x:f>SUMIFS('Daily'!$E$15:$E$130,'Daily'!$C$15:$C$130,A17)</x:f>
        <x:v>0</x:v>
      </x:c>
      <x:c r="E17" s="6" t="n">
        <x:f>MAX(C17-SUMIFS('Daily'!$E$15:$E$130,'Daily'!$C$15:$C$130,A17,'Daily'!$A$15:$A$130,"&lt;"&amp;'Daily'!$B$4),0)</x:f>
        <x:v>0</x:v>
      </x:c>
      <x:c r="F17" s="6" t="n">
        <x:f>MAX(SUMIFS('Daily'!$E$15:$E$130,'Daily'!$C$15:$C$130,A17,'Daily'!$A$15:$A$130,"&lt;"&amp;'Daily'!$B$4)-C17,0)</x:f>
        <x:v>0</x:v>
      </x:c>
      <x:c r="G17" s="6" t="n">
        <x:f>MAX(B17-D17,0)</x:f>
        <x:v>50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SUMIFS('Daily'!$D$15:$D$130,'Daily'!$C$15:$C$130,A18)</x:f>
        <x:v>50</x:v>
      </x:c>
      <x:c r="C18" s="6" t="n">
        <x:f>SUMIFS('Daily'!$D$15:$D$130,'Daily'!$C$15:$C$130,A18,'Daily'!$A$15:$A$130,"&lt;"&amp;'Daily'!$B$4)</x:f>
        <x:v>0</x:v>
      </x:c>
      <x:c r="D18" s="6" t="n">
        <x:f>SUMIFS('Daily'!$E$15:$E$130,'Daily'!$C$15:$C$130,A18)</x:f>
        <x:v>0</x:v>
      </x:c>
      <x:c r="E18" s="6" t="n">
        <x:f>MAX(C18-SUMIFS('Daily'!$E$15:$E$130,'Daily'!$C$15:$C$130,A18,'Daily'!$A$15:$A$130,"&lt;"&amp;'Daily'!$B$4),0)</x:f>
        <x:v>0</x:v>
      </x:c>
      <x:c r="F18" s="6" t="n">
        <x:f>MAX(SUMIFS('Daily'!$E$15:$E$130,'Daily'!$C$15:$C$130,A18,'Daily'!$A$15:$A$130,"&lt;"&amp;'Daily'!$B$4)-C18,0)</x:f>
        <x:v>0</x:v>
      </x:c>
      <x:c r="G18" s="6" t="n">
        <x:f>MAX(B18-D18,0)</x:f>
        <x:v>50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SUMIFS('Daily'!$D$15:$D$130,'Daily'!$C$15:$C$130,A19)</x:f>
        <x:v>50</x:v>
      </x:c>
      <x:c r="C19" s="6" t="n">
        <x:f>SUMIFS('Daily'!$D$15:$D$130,'Daily'!$C$15:$C$130,A19,'Daily'!$A$15:$A$130,"&lt;"&amp;'Daily'!$B$4)</x:f>
        <x:v>0</x:v>
      </x:c>
      <x:c r="D19" s="6" t="n">
        <x:f>SUMIFS('Daily'!$E$15:$E$130,'Daily'!$C$15:$C$130,A19)</x:f>
        <x:v>0</x:v>
      </x:c>
      <x:c r="E19" s="6" t="n">
        <x:f>MAX(C19-SUMIFS('Daily'!$E$15:$E$130,'Daily'!$C$15:$C$130,A19,'Daily'!$A$15:$A$130,"&lt;"&amp;'Daily'!$B$4),0)</x:f>
        <x:v>0</x:v>
      </x:c>
      <x:c r="F19" s="6" t="n">
        <x:f>MAX(SUMIFS('Daily'!$E$15:$E$130,'Daily'!$C$15:$C$130,A19,'Daily'!$A$15:$A$130,"&lt;"&amp;'Daily'!$B$4)-C19,0)</x:f>
        <x:v>0</x:v>
      </x:c>
      <x:c r="G19" s="6" t="n">
        <x:f>MAX(B19-D19,0)</x:f>
        <x:v>50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SUMIFS('Daily'!$D$15:$D$130,'Daily'!$C$15:$C$130,A20)</x:f>
        <x:v>50</x:v>
      </x:c>
      <x:c r="C20" s="6" t="n">
        <x:f>SUMIFS('Daily'!$D$15:$D$130,'Daily'!$C$15:$C$130,A20,'Daily'!$A$15:$A$130,"&lt;"&amp;'Daily'!$B$4)</x:f>
        <x:v>0</x:v>
      </x:c>
      <x:c r="D20" s="6" t="n">
        <x:f>SUMIFS('Daily'!$E$15:$E$130,'Daily'!$C$15:$C$130,A20)</x:f>
        <x:v>0</x:v>
      </x:c>
      <x:c r="E20" s="6" t="n">
        <x:f>MAX(C20-SUMIFS('Daily'!$E$15:$E$130,'Daily'!$C$15:$C$130,A20,'Daily'!$A$15:$A$130,"&lt;"&amp;'Daily'!$B$4),0)</x:f>
        <x:v>0</x:v>
      </x:c>
      <x:c r="F20" s="6" t="n">
        <x:f>MAX(SUMIFS('Daily'!$E$15:$E$130,'Daily'!$C$15:$C$130,A20,'Daily'!$A$15:$A$130,"&lt;"&amp;'Daily'!$B$4)-C20,0)</x:f>
        <x:v>0</x:v>
      </x:c>
      <x:c r="G20" s="6" t="n">
        <x:f>MAX(B20-D20,0)</x:f>
        <x:v>50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SUMIFS('Daily'!$D$15:$D$130,'Daily'!$C$15:$C$130,A21)</x:f>
        <x:v>50</x:v>
      </x:c>
      <x:c r="C21" s="6" t="n">
        <x:f>SUMIFS('Daily'!$D$15:$D$130,'Daily'!$C$15:$C$130,A21,'Daily'!$A$15:$A$130,"&lt;"&amp;'Daily'!$B$4)</x:f>
        <x:v>0</x:v>
      </x:c>
      <x:c r="D21" s="6" t="n">
        <x:f>SUMIFS('Daily'!$E$15:$E$130,'Daily'!$C$15:$C$130,A21)</x:f>
        <x:v>0</x:v>
      </x:c>
      <x:c r="E21" s="6" t="n">
        <x:f>MAX(C21-SUMIFS('Daily'!$E$15:$E$130,'Daily'!$C$15:$C$130,A21,'Daily'!$A$15:$A$130,"&lt;"&amp;'Daily'!$B$4),0)</x:f>
        <x:v>0</x:v>
      </x:c>
      <x:c r="F21" s="6" t="n">
        <x:f>MAX(SUMIFS('Daily'!$E$15:$E$130,'Daily'!$C$15:$C$130,A21,'Daily'!$A$15:$A$130,"&lt;"&amp;'Daily'!$B$4)-C21,0)</x:f>
        <x:v>0</x:v>
      </x:c>
      <x:c r="G21" s="6" t="n">
        <x:f>MAX(B21-D21,0)</x:f>
        <x:v>50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SUMIFS('Daily'!$D$15:$D$130,'Daily'!$C$15:$C$130,A22)</x:f>
        <x:v>50</x:v>
      </x:c>
      <x:c r="C22" s="6" t="n">
        <x:f>SUMIFS('Daily'!$D$15:$D$130,'Daily'!$C$15:$C$130,A22,'Daily'!$A$15:$A$130,"&lt;"&amp;'Daily'!$B$4)</x:f>
        <x:v>0</x:v>
      </x:c>
      <x:c r="D22" s="6" t="n">
        <x:f>SUMIFS('Daily'!$E$15:$E$130,'Daily'!$C$15:$C$130,A22)</x:f>
        <x:v>0</x:v>
      </x:c>
      <x:c r="E22" s="6" t="n">
        <x:f>MAX(C22-SUMIFS('Daily'!$E$15:$E$130,'Daily'!$C$15:$C$130,A22,'Daily'!$A$15:$A$130,"&lt;"&amp;'Daily'!$B$4),0)</x:f>
        <x:v>0</x:v>
      </x:c>
      <x:c r="F22" s="6" t="n">
        <x:f>MAX(SUMIFS('Daily'!$E$15:$E$130,'Daily'!$C$15:$C$130,A22,'Daily'!$A$15:$A$130,"&lt;"&amp;'Daily'!$B$4)-C22,0)</x:f>
        <x:v>0</x:v>
      </x:c>
      <x:c r="G22" s="6" t="n">
        <x:f>MAX(B22-D22,0)</x:f>
        <x:v>50</x:v>
      </x:c>
      <x:c r="H22" s="10" t="n">
        <x:f>IF(B22=0,0,D22/B22)</x:f>
        <x:v>0</x:v>
      </x:c>
    </x:row>
    <x:row r="23" ht="22" customHeight="1">
      <x:c r="A23" s="7" t="n">
        <x:v>46412</x:v>
      </x:c>
      <x:c r="B23" s="6" t="n">
        <x:f>SUMIFS('Daily'!$D$15:$D$130,'Daily'!$C$15:$C$130,A23)</x:f>
        <x:v>50</x:v>
      </x:c>
      <x:c r="C23" s="6" t="n">
        <x:f>SUMIFS('Daily'!$D$15:$D$130,'Daily'!$C$15:$C$130,A23,'Daily'!$A$15:$A$130,"&lt;"&amp;'Daily'!$B$4)</x:f>
        <x:v>0</x:v>
      </x:c>
      <x:c r="D23" s="6" t="n">
        <x:f>SUMIFS('Daily'!$E$15:$E$130,'Daily'!$C$15:$C$130,A23)</x:f>
        <x:v>0</x:v>
      </x:c>
      <x:c r="E23" s="6" t="n">
        <x:f>MAX(C23-SUMIFS('Daily'!$E$15:$E$130,'Daily'!$C$15:$C$130,A23,'Daily'!$A$15:$A$130,"&lt;"&amp;'Daily'!$B$4),0)</x:f>
        <x:v>0</x:v>
      </x:c>
      <x:c r="F23" s="6" t="n">
        <x:f>MAX(SUMIFS('Daily'!$E$15:$E$130,'Daily'!$C$15:$C$130,A23,'Daily'!$A$15:$A$130,"&lt;"&amp;'Daily'!$B$4)-C23,0)</x:f>
        <x:v>0</x:v>
      </x:c>
      <x:c r="G23" s="6" t="n">
        <x:f>MAX(B23-D23,0)</x:f>
        <x:v>50</x:v>
      </x:c>
      <x:c r="H23" s="10" t="n">
        <x:f>IF(B23=0,0,D23/B23)</x:f>
        <x:v>0</x:v>
      </x:c>
    </x:row>
    <x:row r="24" ht="22" customHeight="1">
      <x:c r="A24" s="7" t="n">
        <x:v>46419</x:v>
      </x:c>
      <x:c r="B24" s="6" t="n">
        <x:f>SUMIFS('Daily'!$D$15:$D$130,'Daily'!$C$15:$C$130,A24)</x:f>
        <x:v>50</x:v>
      </x:c>
      <x:c r="C24" s="6" t="n">
        <x:f>SUMIFS('Daily'!$D$15:$D$130,'Daily'!$C$15:$C$130,A24,'Daily'!$A$15:$A$130,"&lt;"&amp;'Daily'!$B$4)</x:f>
        <x:v>0</x:v>
      </x:c>
      <x:c r="D24" s="6" t="n">
        <x:f>SUMIFS('Daily'!$E$15:$E$130,'Daily'!$C$15:$C$130,A24)</x:f>
        <x:v>0</x:v>
      </x:c>
      <x:c r="E24" s="6" t="n">
        <x:f>MAX(C24-SUMIFS('Daily'!$E$15:$E$130,'Daily'!$C$15:$C$130,A24,'Daily'!$A$15:$A$130,"&lt;"&amp;'Daily'!$B$4),0)</x:f>
        <x:v>0</x:v>
      </x:c>
      <x:c r="F24" s="6" t="n">
        <x:f>MAX(SUMIFS('Daily'!$E$15:$E$130,'Daily'!$C$15:$C$130,A24,'Daily'!$A$15:$A$130,"&lt;"&amp;'Daily'!$B$4)-C24,0)</x:f>
        <x:v>0</x:v>
      </x:c>
      <x:c r="G24" s="6" t="n">
        <x:f>MAX(B24-D24,0)</x:f>
        <x:v>50</x:v>
      </x:c>
      <x:c r="H24" s="10" t="n">
        <x:f>IF(B24=0,0,D24/B24)</x:f>
        <x:v>0</x:v>
      </x:c>
    </x:row>
  </x:sheetData>
  <x:conditionalFormatting sqref="E8:E24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</x:sheetData>
  <x:pageMargins left="0.7" right="0.7" top="0.75" bottom="0.75" header="0.3" footer="0.3"/>
</x:worksheet>
</file>