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adbe88fd8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" sheetId="1" r:id="R645b99787c3941f1"/>
    <x:sheet xmlns:r="http://schemas.openxmlformats.org/officeDocument/2006/relationships" name="Weekly" sheetId="2" r:id="R3a925f8c45464b2e"/>
    <x:sheet xmlns:r="http://schemas.openxmlformats.org/officeDocument/2006/relationships" name="Sessions" sheetId="3" r:id="Reb46c3304c5a464d"/>
    <x:sheet xmlns:r="http://schemas.openxmlformats.org/officeDocument/2006/relationships" name="Topics" sheetId="4" r:id="Rfdc3a107eac4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dd mmm yyyy"/>
    <x:numFmt numFmtId="202" formatCode="0%"/>
  </x:numFmts>
  <x:fonts count="4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6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C5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3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2">
    <x:dxf>
      <x:font>
        <x:color rgb="FF9C2424"/>
      </x:font>
      <x:fill>
        <x:patternFill patternType="solid">
          <x:bgColor rgb="FFFCE8E6"/>
        </x:patternFill>
      </x:fill>
    </x:dxf>
    <x:dxf>
      <x:font>
        <x:color rgb="FF9C2424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2e8c214954409" /><Relationship Type="http://schemas.openxmlformats.org/officeDocument/2006/relationships/theme" Target="/xl/theme/theme1.xml" Id="Rdde53a6f8b6d4fac" /><Relationship Type="http://schemas.openxmlformats.org/officeDocument/2006/relationships/sharedStrings" Target="/xl/sharedStrings.xml" Id="R837b745ad2404888" /><Relationship Type="http://schemas.openxmlformats.org/officeDocument/2006/relationships/worksheet" Target="/xl/worksheets/sheet1.xml" Id="R645b99787c3941f1" /><Relationship Type="http://schemas.openxmlformats.org/officeDocument/2006/relationships/worksheet" Target="/xl/worksheets/sheet2.xml" Id="R3a925f8c45464b2e" /><Relationship Type="http://schemas.openxmlformats.org/officeDocument/2006/relationships/worksheet" Target="/xl/worksheets/sheet3.xml" Id="Reb46c3304c5a464d" /><Relationship Type="http://schemas.openxmlformats.org/officeDocument/2006/relationships/worksheet" Target="/xl/worksheets/sheet4.xml" Id="Rfdc3a107eac4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4" hidden="0" customWidth="1"/>
  </x:cols>
  <x:sheetData>
    <x:row r="2" ht="22" customHeight="1">
      <x:c r="A2" s="5" t="str">
        <x:v>Study hours: daily progress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1" t="str">
        <x:v>Reporting date (IST)</x:v>
      </x:c>
      <x:c r="B4" s="8" t="n">
        <x:v>46317</x:v>
      </x:c>
      <x:c r="C4" s="1"/>
      <x:c r="D4" s="1" t="str">
        <x:v>Confirmed hours</x:v>
      </x:c>
      <x:c r="E4" s="6" t="n">
        <x:f>SUM(E15:E114)</x:f>
        <x:v>11.151388888889445</x:v>
      </x:c>
      <x:c r="F4" s="1"/>
      <x:c r="G4" s="1" t="str">
        <x:v>Earlier weekday target</x:v>
      </x:c>
      <x:c r="H4" s="1" t="n">
        <x:v>6</x:v>
      </x:c>
      <x:c r="I4" s="1"/>
      <x:c r="J4" s="1"/>
    </x:row>
    <x:row r="5" ht="22" customHeight="1">
      <x:c r="A5" s="1" t="str">
        <x:v>Tracking starts</x:v>
      </x:c>
      <x:c r="B5" s="8" t="n">
        <x:v>46310</x:v>
      </x:c>
      <x:c r="C5" s="1"/>
      <x:c r="D5" s="1" t="str">
        <x:v>Target: closed days</x:v>
      </x:c>
      <x:c r="E5" s="6" t="n">
        <x:f>SUMIFS(D15:D114,A15:A114,"&lt;"&amp;B4)</x:f>
        <x:v>50</x:v>
      </x:c>
      <x:c r="F5" s="1"/>
      <x:c r="G5" s="1" t="str">
        <x:v>Target source</x:v>
      </x:c>
      <x:c r="H5" s="1" t="str">
        <x:v>tracking/study-targets.json</x:v>
      </x:c>
      <x:c r="I5" s="1"/>
      <x:c r="J5" s="1"/>
    </x:row>
    <x:row r="6" ht="22" customHeight="1">
      <x:c r="A6" s="1" t="str">
        <x:v>Weekday target (from 22 Oct)</x:v>
      </x:c>
      <x:c r="B6" s="9" t="n">
        <x:v>7</x:v>
      </x:c>
      <x:c r="C6" s="1"/>
      <x:c r="D6" s="1" t="str">
        <x:v>Behind: closed days</x:v>
      </x:c>
      <x:c r="E6" s="6" t="n">
        <x:f>MAX(E5-SUMIFS(E15:E114,A15:A114,"&lt;"&amp;B4),0)</x:f>
        <x:v>38.84861111111056</x:v>
      </x:c>
      <x:c r="F6" s="1"/>
      <x:c r="G6" s="1"/>
      <x:c r="H6" s="1"/>
      <x:c r="I6" s="1"/>
      <x:c r="J6" s="1"/>
    </x:row>
    <x:row r="7" ht="22" customHeight="1">
      <x:c r="A7" s="1" t="str">
        <x:v>Weekend target (hours)</x:v>
      </x:c>
      <x:c r="B7" s="9" t="n">
        <x:v>10</x:v>
      </x:c>
      <x:c r="C7" s="1"/>
      <x:c r="D7" s="1" t="str">
        <x:v>Ahead: closed days</x:v>
      </x:c>
      <x:c r="E7" s="6" t="n">
        <x:f>MAX(SUMIFS(E15:E114,A15:A114,"&lt;"&amp;B4)-E5,0)</x:f>
        <x:v>0</x:v>
      </x:c>
      <x:c r="F7" s="1"/>
      <x:c r="G7" s="1"/>
      <x:c r="H7" s="1"/>
      <x:c r="I7" s="1"/>
      <x:c r="J7" s="1"/>
    </x:row>
    <x:row r="8" ht="22" customHeight="1">
      <x:c r="A8" s="1" t="str">
        <x:v>New target effective</x:v>
      </x:c>
      <x:c r="B8" s="7" t="n">
        <x:v>46317</x:v>
      </x:c>
      <x:c r="C8" s="1"/>
      <x:c r="D8" s="1" t="str">
        <x:v>Remaining today</x:v>
      </x:c>
      <x:c r="E8" s="6" t="n">
        <x:f>MAX(SUMIFS(D15:D114,A15:A114,B4)-SUMIFS(E15:E114,A15:A114,B4),0)</x:f>
        <x:v>7</x:v>
      </x:c>
      <x:c r="F8" s="1"/>
      <x:c r="G8" s="1"/>
      <x:c r="H8" s="1"/>
      <x:c r="I8" s="1"/>
      <x:c r="J8" s="1"/>
    </x:row>
    <x:row r="9" ht="22" customHeight="1">
      <x:c r="A9" s="1" t="str">
        <x:v>Preparation deadline</x:v>
      </x:c>
      <x:c r="B9" s="7" t="n">
        <x:v>46409</x:v>
      </x:c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 t="str">
        <x:v>Hours are decimal: 1.50 = 1 hour 30 minutes. Zero means no confirmed time logged.</x:v>
      </x:c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 t="str">
        <x:v>Uncertain and running intervals are excluded. Today is in progress; future days are not overdue.</x:v>
      </x:c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 t="str">
        <x:v>Report refreshed from study-log.csv; rerun the builder after timer changes. Reporting date is fixed in IST.</x:v>
      </x:c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34" customHeight="1">
      <x:c r="A14" s="4" t="str">
        <x:v>Date</x:v>
      </x:c>
      <x:c r="B14" s="4" t="str">
        <x:v>Day</x:v>
      </x:c>
      <x:c r="C14" s="4" t="str">
        <x:v>Week starting</x:v>
      </x:c>
      <x:c r="D14" s="4" t="str">
        <x:v>Target (h)</x:v>
      </x:c>
      <x:c r="E14" s="4" t="str">
        <x:v>Confirmed (h)</x:v>
      </x:c>
      <x:c r="F14" s="4" t="str">
        <x:v>Behind (h)</x:v>
      </x:c>
      <x:c r="G14" s="4" t="str">
        <x:v>Ahead (h)</x:v>
      </x:c>
      <x:c r="H14" s="4" t="str">
        <x:v>Cumulative target</x:v>
      </x:c>
      <x:c r="I14" s="4" t="str">
        <x:v>Cumulative actual</x:v>
      </x:c>
      <x:c r="J14" s="4" t="str">
        <x:v>Record status</x:v>
      </x:c>
    </x:row>
    <x:row r="15" ht="22" customHeight="1">
      <x:c r="A15" s="7" t="n">
        <x:v>46310</x:v>
      </x:c>
      <x:c r="B15" s="1" t="str">
        <x:v>Thu</x:v>
      </x:c>
      <x:c r="C15" s="7" t="n">
        <x:f>A15-WEEKDAY(A15,2)+1</x:f>
        <x:v>46307</x:v>
      </x:c>
      <x:c r="D15" s="6" t="n">
        <x:f>IF(WEEKDAY(A15,2)&gt;5,$B$7,IF(A15&lt;$B$8,$H$4,$B$6))</x:f>
        <x:v>6</x:v>
      </x:c>
      <x:c r="E15" s="6" t="n">
        <x:f>IF(A15&gt;$B$4,"",SUMIFS('Sessions'!$F$2:$F$21,'Sessions'!$B$2:$B$21,A15,'Sessions'!$G$2:$G$21,"completed")/60)</x:f>
        <x:v>2.8094444444449995</x:v>
      </x:c>
      <x:c r="F15" s="6" t="n">
        <x:f>IF(A15&gt;=$B$4,"",MAX(D15-E15,0))</x:f>
        <x:v>3.1905555555550005</x:v>
      </x:c>
      <x:c r="G15" s="6" t="n">
        <x:f>IF(A15&gt;=$B$4,"",MAX(E15-D15,0))</x:f>
        <x:v>0</x:v>
      </x:c>
      <x:c r="H15" s="6" t="n">
        <x:f>IF(A15&gt;=$B$4,"",SUM($D$15:D15))</x:f>
        <x:v>6</x:v>
      </x:c>
      <x:c r="I15" s="6" t="n">
        <x:f>IF(A15&gt;$B$4,"",SUM($E$15:E15))</x:f>
        <x:v>2.8094444444449995</x:v>
      </x:c>
      <x:c r="J15" s="1" t="str">
        <x:f>IF(A15&gt;$B$4,"Future",IF(A15=$B$4,"In progress",IF(COUNTIFS('Sessions'!$B$2:$B$21,A15,'Sessions'!$G$2:$G$21,"needs_confirmation")&gt;0,"Uncertain time",IF(E15=0,"No confirmed time","Logged"))))</x:f>
        <x:v>Uncertain time</x:v>
      </x:c>
    </x:row>
    <x:row r="16" ht="22" customHeight="1">
      <x:c r="A16" s="7" t="n">
        <x:v>46311</x:v>
      </x:c>
      <x:c r="B16" s="1" t="str">
        <x:v>Fri</x:v>
      </x:c>
      <x:c r="C16" s="7" t="n">
        <x:f>A16-WEEKDAY(A16,2)+1</x:f>
        <x:v>46307</x:v>
      </x:c>
      <x:c r="D16" s="6" t="n">
        <x:f>IF(WEEKDAY(A16,2)&gt;5,$B$7,IF(A16&lt;$B$8,$H$4,$B$6))</x:f>
        <x:v>6</x:v>
      </x:c>
      <x:c r="E16" s="6" t="n">
        <x:f>IF(A16&gt;$B$4,"",SUMIFS('Sessions'!$F$2:$F$21,'Sessions'!$B$2:$B$21,A16,'Sessions'!$G$2:$G$21,"completed")/60)</x:f>
        <x:v>1.6897222222222223</x:v>
      </x:c>
      <x:c r="F16" s="6" t="n">
        <x:f>IF(A16&gt;=$B$4,"",MAX(D16-E16,0))</x:f>
        <x:v>4.310277777777777</x:v>
      </x:c>
      <x:c r="G16" s="6" t="n">
        <x:f>IF(A16&gt;=$B$4,"",MAX(E16-D16,0))</x:f>
        <x:v>0</x:v>
      </x:c>
      <x:c r="H16" s="6" t="n">
        <x:f>IF(A16&gt;=$B$4,"",SUM($D$15:D16))</x:f>
        <x:v>12</x:v>
      </x:c>
      <x:c r="I16" s="6" t="n">
        <x:f>IF(A16&gt;$B$4,"",SUM($E$15:E16))</x:f>
        <x:v>4.499166666667222</x:v>
      </x:c>
      <x:c r="J16" s="1" t="str">
        <x:f>IF(A16&gt;$B$4,"Future",IF(A16=$B$4,"In progress",IF(COUNTIFS('Sessions'!$B$2:$B$21,A16,'Sessions'!$G$2:$G$21,"needs_confirmation")&gt;0,"Uncertain time",IF(E16=0,"No confirmed time","Logged"))))</x:f>
        <x:v>Logged</x:v>
      </x:c>
    </x:row>
    <x:row r="17" ht="22" customHeight="1">
      <x:c r="A17" s="7" t="n">
        <x:v>46312</x:v>
      </x:c>
      <x:c r="B17" s="1" t="str">
        <x:v>Sat</x:v>
      </x:c>
      <x:c r="C17" s="7" t="n">
        <x:f>A17-WEEKDAY(A17,2)+1</x:f>
        <x:v>46307</x:v>
      </x:c>
      <x:c r="D17" s="6" t="n">
        <x:f>IF(WEEKDAY(A17,2)&gt;5,$B$7,IF(A17&lt;$B$8,$H$4,$B$6))</x:f>
        <x:v>10</x:v>
      </x:c>
      <x:c r="E17" s="6" t="n">
        <x:f>IF(A17&gt;$B$4,"",SUMIFS('Sessions'!$F$2:$F$21,'Sessions'!$B$2:$B$21,A17,'Sessions'!$G$2:$G$21,"completed")/60)</x:f>
        <x:v>6.652222222222223</x:v>
      </x:c>
      <x:c r="F17" s="6" t="n">
        <x:f>IF(A17&gt;=$B$4,"",MAX(D17-E17,0))</x:f>
        <x:v>3.347777777777777</x:v>
      </x:c>
      <x:c r="G17" s="6" t="n">
        <x:f>IF(A17&gt;=$B$4,"",MAX(E17-D17,0))</x:f>
        <x:v>0</x:v>
      </x:c>
      <x:c r="H17" s="6" t="n">
        <x:f>IF(A17&gt;=$B$4,"",SUM($D$15:D17))</x:f>
        <x:v>22</x:v>
      </x:c>
      <x:c r="I17" s="6" t="n">
        <x:f>IF(A17&gt;$B$4,"",SUM($E$15:E17))</x:f>
        <x:v>11.151388888889445</x:v>
      </x:c>
      <x:c r="J17" s="1" t="str">
        <x:f>IF(A17&gt;$B$4,"Future",IF(A17=$B$4,"In progress",IF(COUNTIFS('Sessions'!$B$2:$B$21,A17,'Sessions'!$G$2:$G$21,"needs_confirmation")&gt;0,"Uncertain time",IF(E17=0,"No confirmed time","Logged"))))</x:f>
        <x:v>Logged</x:v>
      </x:c>
    </x:row>
    <x:row r="18" ht="22" customHeight="1">
      <x:c r="A18" s="7" t="n">
        <x:v>46313</x:v>
      </x:c>
      <x:c r="B18" s="1" t="str">
        <x:v>Sun</x:v>
      </x:c>
      <x:c r="C18" s="7" t="n">
        <x:f>A18-WEEKDAY(A18,2)+1</x:f>
        <x:v>46307</x:v>
      </x:c>
      <x:c r="D18" s="6" t="n">
        <x:f>IF(WEEKDAY(A18,2)&gt;5,$B$7,IF(A18&lt;$B$8,$H$4,$B$6))</x:f>
        <x:v>10</x:v>
      </x:c>
      <x:c r="E18" s="6" t="n">
        <x:f>IF(A18&gt;$B$4,"",SUMIFS('Sessions'!$F$2:$F$21,'Sessions'!$B$2:$B$21,A18,'Sessions'!$G$2:$G$21,"completed")/60)</x:f>
        <x:v>0</x:v>
      </x:c>
      <x:c r="F18" s="6" t="n">
        <x:f>IF(A18&gt;=$B$4,"",MAX(D18-E18,0))</x:f>
        <x:v>10</x:v>
      </x:c>
      <x:c r="G18" s="6" t="n">
        <x:f>IF(A18&gt;=$B$4,"",MAX(E18-D18,0))</x:f>
        <x:v>0</x:v>
      </x:c>
      <x:c r="H18" s="6" t="n">
        <x:f>IF(A18&gt;=$B$4,"",SUM($D$15:D18))</x:f>
        <x:v>32</x:v>
      </x:c>
      <x:c r="I18" s="6" t="n">
        <x:f>IF(A18&gt;$B$4,"",SUM($E$15:E18))</x:f>
        <x:v>11.151388888889445</x:v>
      </x:c>
      <x:c r="J18" s="1" t="str">
        <x:f>IF(A18&gt;$B$4,"Future",IF(A18=$B$4,"In progress",IF(COUNTIFS('Sessions'!$B$2:$B$21,A18,'Sessions'!$G$2:$G$21,"needs_confirmation")&gt;0,"Uncertain time",IF(E18=0,"No confirmed time","Logged"))))</x:f>
        <x:v>No confirmed time</x:v>
      </x:c>
    </x:row>
    <x:row r="19" ht="22" customHeight="1">
      <x:c r="A19" s="7" t="n">
        <x:v>46314</x:v>
      </x:c>
      <x:c r="B19" s="1" t="str">
        <x:v>Mon</x:v>
      </x:c>
      <x:c r="C19" s="7" t="n">
        <x:f>A19-WEEKDAY(A19,2)+1</x:f>
        <x:v>46314</x:v>
      </x:c>
      <x:c r="D19" s="6" t="n">
        <x:f>IF(WEEKDAY(A19,2)&gt;5,$B$7,IF(A19&lt;$B$8,$H$4,$B$6))</x:f>
        <x:v>6</x:v>
      </x:c>
      <x:c r="E19" s="6" t="n">
        <x:f>IF(A19&gt;$B$4,"",SUMIFS('Sessions'!$F$2:$F$21,'Sessions'!$B$2:$B$21,A19,'Sessions'!$G$2:$G$21,"completed")/60)</x:f>
        <x:v>0</x:v>
      </x:c>
      <x:c r="F19" s="6" t="n">
        <x:f>IF(A19&gt;=$B$4,"",MAX(D19-E19,0))</x:f>
        <x:v>6</x:v>
      </x:c>
      <x:c r="G19" s="6" t="n">
        <x:f>IF(A19&gt;=$B$4,"",MAX(E19-D19,0))</x:f>
        <x:v>0</x:v>
      </x:c>
      <x:c r="H19" s="6" t="n">
        <x:f>IF(A19&gt;=$B$4,"",SUM($D$15:D19))</x:f>
        <x:v>38</x:v>
      </x:c>
      <x:c r="I19" s="6" t="n">
        <x:f>IF(A19&gt;$B$4,"",SUM($E$15:E19))</x:f>
        <x:v>11.151388888889445</x:v>
      </x:c>
      <x:c r="J19" s="1" t="str">
        <x:f>IF(A19&gt;$B$4,"Future",IF(A19=$B$4,"In progress",IF(COUNTIFS('Sessions'!$B$2:$B$21,A19,'Sessions'!$G$2:$G$21,"needs_confirmation")&gt;0,"Uncertain time",IF(E19=0,"No confirmed time","Logged"))))</x:f>
        <x:v>No confirmed time</x:v>
      </x:c>
    </x:row>
    <x:row r="20" ht="22" customHeight="1">
      <x:c r="A20" s="7" t="n">
        <x:v>46315</x:v>
      </x:c>
      <x:c r="B20" s="1" t="str">
        <x:v>Tue</x:v>
      </x:c>
      <x:c r="C20" s="7" t="n">
        <x:f>A20-WEEKDAY(A20,2)+1</x:f>
        <x:v>46314</x:v>
      </x:c>
      <x:c r="D20" s="6" t="n">
        <x:f>IF(WEEKDAY(A20,2)&gt;5,$B$7,IF(A20&lt;$B$8,$H$4,$B$6))</x:f>
        <x:v>6</x:v>
      </x:c>
      <x:c r="E20" s="6" t="n">
        <x:f>IF(A20&gt;$B$4,"",SUMIFS('Sessions'!$F$2:$F$21,'Sessions'!$B$2:$B$21,A20,'Sessions'!$G$2:$G$21,"completed")/60)</x:f>
        <x:v>0</x:v>
      </x:c>
      <x:c r="F20" s="6" t="n">
        <x:f>IF(A20&gt;=$B$4,"",MAX(D20-E20,0))</x:f>
        <x:v>6</x:v>
      </x:c>
      <x:c r="G20" s="6" t="n">
        <x:f>IF(A20&gt;=$B$4,"",MAX(E20-D20,0))</x:f>
        <x:v>0</x:v>
      </x:c>
      <x:c r="H20" s="6" t="n">
        <x:f>IF(A20&gt;=$B$4,"",SUM($D$15:D20))</x:f>
        <x:v>44</x:v>
      </x:c>
      <x:c r="I20" s="6" t="n">
        <x:f>IF(A20&gt;$B$4,"",SUM($E$15:E20))</x:f>
        <x:v>11.151388888889445</x:v>
      </x:c>
      <x:c r="J20" s="1" t="str">
        <x:f>IF(A20&gt;$B$4,"Future",IF(A20=$B$4,"In progress",IF(COUNTIFS('Sessions'!$B$2:$B$21,A20,'Sessions'!$G$2:$G$21,"needs_confirmation")&gt;0,"Uncertain time",IF(E20=0,"No confirmed time","Logged"))))</x:f>
        <x:v>No confirmed time</x:v>
      </x:c>
    </x:row>
    <x:row r="21" ht="22" customHeight="1">
      <x:c r="A21" s="7" t="n">
        <x:v>46316</x:v>
      </x:c>
      <x:c r="B21" s="1" t="str">
        <x:v>Wed</x:v>
      </x:c>
      <x:c r="C21" s="7" t="n">
        <x:f>A21-WEEKDAY(A21,2)+1</x:f>
        <x:v>46314</x:v>
      </x:c>
      <x:c r="D21" s="6" t="n">
        <x:f>IF(WEEKDAY(A21,2)&gt;5,$B$7,IF(A21&lt;$B$8,$H$4,$B$6))</x:f>
        <x:v>6</x:v>
      </x:c>
      <x:c r="E21" s="6" t="n">
        <x:f>IF(A21&gt;$B$4,"",SUMIFS('Sessions'!$F$2:$F$21,'Sessions'!$B$2:$B$21,A21,'Sessions'!$G$2:$G$21,"completed")/60)</x:f>
        <x:v>0</x:v>
      </x:c>
      <x:c r="F21" s="6" t="n">
        <x:f>IF(A21&gt;=$B$4,"",MAX(D21-E21,0))</x:f>
        <x:v>6</x:v>
      </x:c>
      <x:c r="G21" s="6" t="n">
        <x:f>IF(A21&gt;=$B$4,"",MAX(E21-D21,0))</x:f>
        <x:v>0</x:v>
      </x:c>
      <x:c r="H21" s="6" t="n">
        <x:f>IF(A21&gt;=$B$4,"",SUM($D$15:D21))</x:f>
        <x:v>50</x:v>
      </x:c>
      <x:c r="I21" s="6" t="n">
        <x:f>IF(A21&gt;$B$4,"",SUM($E$15:E21))</x:f>
        <x:v>11.151388888889445</x:v>
      </x:c>
      <x:c r="J21" s="1" t="str">
        <x:f>IF(A21&gt;$B$4,"Future",IF(A21=$B$4,"In progress",IF(COUNTIFS('Sessions'!$B$2:$B$21,A21,'Sessions'!$G$2:$G$21,"needs_confirmation")&gt;0,"Uncertain time",IF(E21=0,"No confirmed time","Logged"))))</x:f>
        <x:v>No confirmed time</x:v>
      </x:c>
    </x:row>
    <x:row r="22" ht="22" customHeight="1">
      <x:c r="A22" s="7" t="n">
        <x:v>46317</x:v>
      </x:c>
      <x:c r="B22" s="1" t="str">
        <x:v>Thu</x:v>
      </x:c>
      <x:c r="C22" s="7" t="n">
        <x:f>A22-WEEKDAY(A22,2)+1</x:f>
        <x:v>46314</x:v>
      </x:c>
      <x:c r="D22" s="6" t="n">
        <x:f>IF(WEEKDAY(A22,2)&gt;5,$B$7,IF(A22&lt;$B$8,$H$4,$B$6))</x:f>
        <x:v>7</x:v>
      </x:c>
      <x:c r="E22" s="6" t="n">
        <x:f>IF(A22&gt;$B$4,"",SUMIFS('Sessions'!$F$2:$F$21,'Sessions'!$B$2:$B$21,A22,'Sessions'!$G$2:$G$21,"completed")/60)</x:f>
        <x:v>0</x:v>
      </x:c>
      <x:c r="F22" s="6" t="str">
        <x:f>IF(A22&gt;=$B$4,"",MAX(D22-E22,0))</x:f>
      </x:c>
      <x:c r="G22" s="6" t="str">
        <x:f>IF(A22&gt;=$B$4,"",MAX(E22-D22,0))</x:f>
      </x:c>
      <x:c r="H22" s="6" t="str">
        <x:f>IF(A22&gt;=$B$4,"",SUM($D$15:D22))</x:f>
      </x:c>
      <x:c r="I22" s="6" t="n">
        <x:f>IF(A22&gt;$B$4,"",SUM($E$15:E22))</x:f>
        <x:v>11.151388888889445</x:v>
      </x:c>
      <x:c r="J22" s="1" t="str">
        <x:f>IF(A22&gt;$B$4,"Future",IF(A22=$B$4,"In progress",IF(COUNTIFS('Sessions'!$B$2:$B$21,A22,'Sessions'!$G$2:$G$21,"needs_confirmation")&gt;0,"Uncertain time",IF(E22=0,"No confirmed time","Logged"))))</x:f>
        <x:v>In progress</x:v>
      </x:c>
    </x:row>
    <x:row r="23" ht="22" customHeight="1">
      <x:c r="A23" s="7" t="n">
        <x:v>46318</x:v>
      </x:c>
      <x:c r="B23" s="1" t="str">
        <x:v>Fri</x:v>
      </x:c>
      <x:c r="C23" s="7" t="n">
        <x:f>A23-WEEKDAY(A23,2)+1</x:f>
        <x:v>46314</x:v>
      </x:c>
      <x:c r="D23" s="6" t="n">
        <x:f>IF(WEEKDAY(A23,2)&gt;5,$B$7,IF(A23&lt;$B$8,$H$4,$B$6))</x:f>
        <x:v>7</x:v>
      </x:c>
      <x:c r="E23" s="6" t="str">
        <x:f>IF(A23&gt;$B$4,"",SUMIFS('Sessions'!$F$2:$F$21,'Sessions'!$B$2:$B$21,A23,'Sessions'!$G$2:$G$21,"completed")/60)</x:f>
      </x:c>
      <x:c r="F23" s="6" t="str">
        <x:f>IF(A23&gt;=$B$4,"",MAX(D23-E23,0))</x:f>
      </x:c>
      <x:c r="G23" s="6" t="str">
        <x:f>IF(A23&gt;=$B$4,"",MAX(E23-D23,0))</x:f>
      </x:c>
      <x:c r="H23" s="6" t="str">
        <x:f>IF(A23&gt;=$B$4,"",SUM($D$15:D23))</x:f>
      </x:c>
      <x:c r="I23" s="6" t="str">
        <x:f>IF(A23&gt;$B$4,"",SUM($E$15:E23))</x:f>
      </x:c>
      <x:c r="J23" s="1" t="str">
        <x:f>IF(A23&gt;$B$4,"Future",IF(A23=$B$4,"In progress",IF(COUNTIFS('Sessions'!$B$2:$B$21,A23,'Sessions'!$G$2:$G$21,"needs_confirmation")&gt;0,"Uncertain time",IF(E23=0,"No confirmed time","Logged"))))</x:f>
        <x:v>Future</x:v>
      </x:c>
    </x:row>
    <x:row r="24" ht="22" customHeight="1">
      <x:c r="A24" s="7" t="n">
        <x:v>46319</x:v>
      </x:c>
      <x:c r="B24" s="1" t="str">
        <x:v>Sat</x:v>
      </x:c>
      <x:c r="C24" s="7" t="n">
        <x:f>A24-WEEKDAY(A24,2)+1</x:f>
        <x:v>46314</x:v>
      </x:c>
      <x:c r="D24" s="6" t="n">
        <x:f>IF(WEEKDAY(A24,2)&gt;5,$B$7,IF(A24&lt;$B$8,$H$4,$B$6))</x:f>
        <x:v>10</x:v>
      </x:c>
      <x:c r="E24" s="6" t="str">
        <x:f>IF(A24&gt;$B$4,"",SUMIFS('Sessions'!$F$2:$F$21,'Sessions'!$B$2:$B$21,A24,'Sessions'!$G$2:$G$21,"completed")/60)</x:f>
      </x:c>
      <x:c r="F24" s="6" t="str">
        <x:f>IF(A24&gt;=$B$4,"",MAX(D24-E24,0))</x:f>
      </x:c>
      <x:c r="G24" s="6" t="str">
        <x:f>IF(A24&gt;=$B$4,"",MAX(E24-D24,0))</x:f>
      </x:c>
      <x:c r="H24" s="6" t="str">
        <x:f>IF(A24&gt;=$B$4,"",SUM($D$15:D24))</x:f>
      </x:c>
      <x:c r="I24" s="6" t="str">
        <x:f>IF(A24&gt;$B$4,"",SUM($E$15:E24))</x:f>
      </x:c>
      <x:c r="J24" s="1" t="str">
        <x:f>IF(A24&gt;$B$4,"Future",IF(A24=$B$4,"In progress",IF(COUNTIFS('Sessions'!$B$2:$B$21,A24,'Sessions'!$G$2:$G$21,"needs_confirmation")&gt;0,"Uncertain time",IF(E24=0,"No confirmed time","Logged"))))</x:f>
        <x:v>Future</x:v>
      </x:c>
    </x:row>
    <x:row r="25" ht="22" customHeight="1">
      <x:c r="A25" s="7" t="n">
        <x:v>46320</x:v>
      </x:c>
      <x:c r="B25" s="1" t="str">
        <x:v>Sun</x:v>
      </x:c>
      <x:c r="C25" s="7" t="n">
        <x:f>A25-WEEKDAY(A25,2)+1</x:f>
        <x:v>46314</x:v>
      </x:c>
      <x:c r="D25" s="6" t="n">
        <x:f>IF(WEEKDAY(A25,2)&gt;5,$B$7,IF(A25&lt;$B$8,$H$4,$B$6))</x:f>
        <x:v>10</x:v>
      </x:c>
      <x:c r="E25" s="6" t="str">
        <x:f>IF(A25&gt;$B$4,"",SUMIFS('Sessions'!$F$2:$F$21,'Sessions'!$B$2:$B$21,A25,'Sessions'!$G$2:$G$21,"completed")/60)</x:f>
      </x:c>
      <x:c r="F25" s="6" t="str">
        <x:f>IF(A25&gt;=$B$4,"",MAX(D25-E25,0))</x:f>
      </x:c>
      <x:c r="G25" s="6" t="str">
        <x:f>IF(A25&gt;=$B$4,"",MAX(E25-D25,0))</x:f>
      </x:c>
      <x:c r="H25" s="6" t="str">
        <x:f>IF(A25&gt;=$B$4,"",SUM($D$15:D25))</x:f>
      </x:c>
      <x:c r="I25" s="6" t="str">
        <x:f>IF(A25&gt;$B$4,"",SUM($E$15:E25))</x:f>
      </x:c>
      <x:c r="J25" s="1" t="str">
        <x:f>IF(A25&gt;$B$4,"Future",IF(A25=$B$4,"In progress",IF(COUNTIFS('Sessions'!$B$2:$B$21,A25,'Sessions'!$G$2:$G$21,"needs_confirmation")&gt;0,"Uncertain time",IF(E25=0,"No confirmed time","Logged"))))</x:f>
        <x:v>Future</x:v>
      </x:c>
    </x:row>
    <x:row r="26" ht="22" customHeight="1">
      <x:c r="A26" s="7" t="n">
        <x:v>46321</x:v>
      </x:c>
      <x:c r="B26" s="1" t="str">
        <x:v>Mon</x:v>
      </x:c>
      <x:c r="C26" s="7" t="n">
        <x:f>A26-WEEKDAY(A26,2)+1</x:f>
        <x:v>46321</x:v>
      </x:c>
      <x:c r="D26" s="6" t="n">
        <x:f>IF(WEEKDAY(A26,2)&gt;5,$B$7,IF(A26&lt;$B$8,$H$4,$B$6))</x:f>
        <x:v>7</x:v>
      </x:c>
      <x:c r="E26" s="6" t="str">
        <x:f>IF(A26&gt;$B$4,"",SUMIFS('Sessions'!$F$2:$F$21,'Sessions'!$B$2:$B$21,A26,'Sessions'!$G$2:$G$21,"completed")/60)</x:f>
      </x:c>
      <x:c r="F26" s="6" t="str">
        <x:f>IF(A26&gt;=$B$4,"",MAX(D26-E26,0))</x:f>
      </x:c>
      <x:c r="G26" s="6" t="str">
        <x:f>IF(A26&gt;=$B$4,"",MAX(E26-D26,0))</x:f>
      </x:c>
      <x:c r="H26" s="6" t="str">
        <x:f>IF(A26&gt;=$B$4,"",SUM($D$15:D26))</x:f>
      </x:c>
      <x:c r="I26" s="6" t="str">
        <x:f>IF(A26&gt;$B$4,"",SUM($E$15:E26))</x:f>
      </x:c>
      <x:c r="J26" s="1" t="str">
        <x:f>IF(A26&gt;$B$4,"Future",IF(A26=$B$4,"In progress",IF(COUNTIFS('Sessions'!$B$2:$B$21,A26,'Sessions'!$G$2:$G$21,"needs_confirmation")&gt;0,"Uncertain time",IF(E26=0,"No confirmed time","Logged"))))</x:f>
        <x:v>Future</x:v>
      </x:c>
    </x:row>
    <x:row r="27" ht="22" customHeight="1">
      <x:c r="A27" s="7" t="n">
        <x:v>46322</x:v>
      </x:c>
      <x:c r="B27" s="1" t="str">
        <x:v>Tue</x:v>
      </x:c>
      <x:c r="C27" s="7" t="n">
        <x:f>A27-WEEKDAY(A27,2)+1</x:f>
        <x:v>46321</x:v>
      </x:c>
      <x:c r="D27" s="6" t="n">
        <x:f>IF(WEEKDAY(A27,2)&gt;5,$B$7,IF(A27&lt;$B$8,$H$4,$B$6))</x:f>
        <x:v>7</x:v>
      </x:c>
      <x:c r="E27" s="6" t="str">
        <x:f>IF(A27&gt;$B$4,"",SUMIFS('Sessions'!$F$2:$F$21,'Sessions'!$B$2:$B$21,A27,'Sessions'!$G$2:$G$21,"completed")/60)</x:f>
      </x:c>
      <x:c r="F27" s="6" t="str">
        <x:f>IF(A27&gt;=$B$4,"",MAX(D27-E27,0))</x:f>
      </x:c>
      <x:c r="G27" s="6" t="str">
        <x:f>IF(A27&gt;=$B$4,"",MAX(E27-D27,0))</x:f>
      </x:c>
      <x:c r="H27" s="6" t="str">
        <x:f>IF(A27&gt;=$B$4,"",SUM($D$15:D27))</x:f>
      </x:c>
      <x:c r="I27" s="6" t="str">
        <x:f>IF(A27&gt;$B$4,"",SUM($E$15:E27))</x:f>
      </x:c>
      <x:c r="J27" s="1" t="str">
        <x:f>IF(A27&gt;$B$4,"Future",IF(A27=$B$4,"In progress",IF(COUNTIFS('Sessions'!$B$2:$B$21,A27,'Sessions'!$G$2:$G$21,"needs_confirmation")&gt;0,"Uncertain time",IF(E27=0,"No confirmed time","Logged"))))</x:f>
        <x:v>Future</x:v>
      </x:c>
    </x:row>
    <x:row r="28" ht="22" customHeight="1">
      <x:c r="A28" s="7" t="n">
        <x:v>46323</x:v>
      </x:c>
      <x:c r="B28" s="1" t="str">
        <x:v>Wed</x:v>
      </x:c>
      <x:c r="C28" s="7" t="n">
        <x:f>A28-WEEKDAY(A28,2)+1</x:f>
        <x:v>46321</x:v>
      </x:c>
      <x:c r="D28" s="6" t="n">
        <x:f>IF(WEEKDAY(A28,2)&gt;5,$B$7,IF(A28&lt;$B$8,$H$4,$B$6))</x:f>
        <x:v>7</x:v>
      </x:c>
      <x:c r="E28" s="6" t="str">
        <x:f>IF(A28&gt;$B$4,"",SUMIFS('Sessions'!$F$2:$F$21,'Sessions'!$B$2:$B$21,A28,'Sessions'!$G$2:$G$21,"completed")/60)</x:f>
      </x:c>
      <x:c r="F28" s="6" t="str">
        <x:f>IF(A28&gt;=$B$4,"",MAX(D28-E28,0))</x:f>
      </x:c>
      <x:c r="G28" s="6" t="str">
        <x:f>IF(A28&gt;=$B$4,"",MAX(E28-D28,0))</x:f>
      </x:c>
      <x:c r="H28" s="6" t="str">
        <x:f>IF(A28&gt;=$B$4,"",SUM($D$15:D28))</x:f>
      </x:c>
      <x:c r="I28" s="6" t="str">
        <x:f>IF(A28&gt;$B$4,"",SUM($E$15:E28))</x:f>
      </x:c>
      <x:c r="J28" s="1" t="str">
        <x:f>IF(A28&gt;$B$4,"Future",IF(A28=$B$4,"In progress",IF(COUNTIFS('Sessions'!$B$2:$B$21,A28,'Sessions'!$G$2:$G$21,"needs_confirmation")&gt;0,"Uncertain time",IF(E28=0,"No confirmed time","Logged"))))</x:f>
        <x:v>Future</x:v>
      </x:c>
    </x:row>
    <x:row r="29" ht="22" customHeight="1">
      <x:c r="A29" s="7" t="n">
        <x:v>46324</x:v>
      </x:c>
      <x:c r="B29" s="1" t="str">
        <x:v>Thu</x:v>
      </x:c>
      <x:c r="C29" s="7" t="n">
        <x:f>A29-WEEKDAY(A29,2)+1</x:f>
        <x:v>46321</x:v>
      </x:c>
      <x:c r="D29" s="6" t="n">
        <x:f>IF(WEEKDAY(A29,2)&gt;5,$B$7,IF(A29&lt;$B$8,$H$4,$B$6))</x:f>
        <x:v>7</x:v>
      </x:c>
      <x:c r="E29" s="6" t="str">
        <x:f>IF(A29&gt;$B$4,"",SUMIFS('Sessions'!$F$2:$F$21,'Sessions'!$B$2:$B$21,A29,'Sessions'!$G$2:$G$21,"completed")/60)</x:f>
      </x:c>
      <x:c r="F29" s="6" t="str">
        <x:f>IF(A29&gt;=$B$4,"",MAX(D29-E29,0))</x:f>
      </x:c>
      <x:c r="G29" s="6" t="str">
        <x:f>IF(A29&gt;=$B$4,"",MAX(E29-D29,0))</x:f>
      </x:c>
      <x:c r="H29" s="6" t="str">
        <x:f>IF(A29&gt;=$B$4,"",SUM($D$15:D29))</x:f>
      </x:c>
      <x:c r="I29" s="6" t="str">
        <x:f>IF(A29&gt;$B$4,"",SUM($E$15:E29))</x:f>
      </x:c>
      <x:c r="J29" s="1" t="str">
        <x:f>IF(A29&gt;$B$4,"Future",IF(A29=$B$4,"In progress",IF(COUNTIFS('Sessions'!$B$2:$B$21,A29,'Sessions'!$G$2:$G$21,"needs_confirmation")&gt;0,"Uncertain time",IF(E29=0,"No confirmed time","Logged"))))</x:f>
        <x:v>Future</x:v>
      </x:c>
    </x:row>
    <x:row r="30" ht="22" customHeight="1">
      <x:c r="A30" s="7" t="n">
        <x:v>46325</x:v>
      </x:c>
      <x:c r="B30" s="1" t="str">
        <x:v>Fri</x:v>
      </x:c>
      <x:c r="C30" s="7" t="n">
        <x:f>A30-WEEKDAY(A30,2)+1</x:f>
        <x:v>46321</x:v>
      </x:c>
      <x:c r="D30" s="6" t="n">
        <x:f>IF(WEEKDAY(A30,2)&gt;5,$B$7,IF(A30&lt;$B$8,$H$4,$B$6))</x:f>
        <x:v>7</x:v>
      </x:c>
      <x:c r="E30" s="6" t="str">
        <x:f>IF(A30&gt;$B$4,"",SUMIFS('Sessions'!$F$2:$F$21,'Sessions'!$B$2:$B$21,A30,'Sessions'!$G$2:$G$21,"completed")/60)</x:f>
      </x:c>
      <x:c r="F30" s="6" t="str">
        <x:f>IF(A30&gt;=$B$4,"",MAX(D30-E30,0))</x:f>
      </x:c>
      <x:c r="G30" s="6" t="str">
        <x:f>IF(A30&gt;=$B$4,"",MAX(E30-D30,0))</x:f>
      </x:c>
      <x:c r="H30" s="6" t="str">
        <x:f>IF(A30&gt;=$B$4,"",SUM($D$15:D30))</x:f>
      </x:c>
      <x:c r="I30" s="6" t="str">
        <x:f>IF(A30&gt;$B$4,"",SUM($E$15:E30))</x:f>
      </x:c>
      <x:c r="J30" s="1" t="str">
        <x:f>IF(A30&gt;$B$4,"Future",IF(A30=$B$4,"In progress",IF(COUNTIFS('Sessions'!$B$2:$B$21,A30,'Sessions'!$G$2:$G$21,"needs_confirmation")&gt;0,"Uncertain time",IF(E30=0,"No confirmed time","Logged"))))</x:f>
        <x:v>Future</x:v>
      </x:c>
    </x:row>
    <x:row r="31" ht="22" customHeight="1">
      <x:c r="A31" s="7" t="n">
        <x:v>46326</x:v>
      </x:c>
      <x:c r="B31" s="1" t="str">
        <x:v>Sat</x:v>
      </x:c>
      <x:c r="C31" s="7" t="n">
        <x:f>A31-WEEKDAY(A31,2)+1</x:f>
        <x:v>46321</x:v>
      </x:c>
      <x:c r="D31" s="6" t="n">
        <x:f>IF(WEEKDAY(A31,2)&gt;5,$B$7,IF(A31&lt;$B$8,$H$4,$B$6))</x:f>
        <x:v>10</x:v>
      </x:c>
      <x:c r="E31" s="6" t="str">
        <x:f>IF(A31&gt;$B$4,"",SUMIFS('Sessions'!$F$2:$F$21,'Sessions'!$B$2:$B$21,A31,'Sessions'!$G$2:$G$21,"completed")/60)</x:f>
      </x:c>
      <x:c r="F31" s="6" t="str">
        <x:f>IF(A31&gt;=$B$4,"",MAX(D31-E31,0))</x:f>
      </x:c>
      <x:c r="G31" s="6" t="str">
        <x:f>IF(A31&gt;=$B$4,"",MAX(E31-D31,0))</x:f>
      </x:c>
      <x:c r="H31" s="6" t="str">
        <x:f>IF(A31&gt;=$B$4,"",SUM($D$15:D31))</x:f>
      </x:c>
      <x:c r="I31" s="6" t="str">
        <x:f>IF(A31&gt;$B$4,"",SUM($E$15:E31))</x:f>
      </x:c>
      <x:c r="J31" s="1" t="str">
        <x:f>IF(A31&gt;$B$4,"Future",IF(A31=$B$4,"In progress",IF(COUNTIFS('Sessions'!$B$2:$B$21,A31,'Sessions'!$G$2:$G$21,"needs_confirmation")&gt;0,"Uncertain time",IF(E31=0,"No confirmed time","Logged"))))</x:f>
        <x:v>Future</x:v>
      </x:c>
    </x:row>
    <x:row r="32" ht="22" customHeight="1">
      <x:c r="A32" s="7" t="n">
        <x:v>46327</x:v>
      </x:c>
      <x:c r="B32" s="1" t="str">
        <x:v>Sun</x:v>
      </x:c>
      <x:c r="C32" s="7" t="n">
        <x:f>A32-WEEKDAY(A32,2)+1</x:f>
        <x:v>46321</x:v>
      </x:c>
      <x:c r="D32" s="6" t="n">
        <x:f>IF(WEEKDAY(A32,2)&gt;5,$B$7,IF(A32&lt;$B$8,$H$4,$B$6))</x:f>
        <x:v>10</x:v>
      </x:c>
      <x:c r="E32" s="6" t="str">
        <x:f>IF(A32&gt;$B$4,"",SUMIFS('Sessions'!$F$2:$F$21,'Sessions'!$B$2:$B$21,A32,'Sessions'!$G$2:$G$21,"completed")/60)</x:f>
      </x:c>
      <x:c r="F32" s="6" t="str">
        <x:f>IF(A32&gt;=$B$4,"",MAX(D32-E32,0))</x:f>
      </x:c>
      <x:c r="G32" s="6" t="str">
        <x:f>IF(A32&gt;=$B$4,"",MAX(E32-D32,0))</x:f>
      </x:c>
      <x:c r="H32" s="6" t="str">
        <x:f>IF(A32&gt;=$B$4,"",SUM($D$15:D32))</x:f>
      </x:c>
      <x:c r="I32" s="6" t="str">
        <x:f>IF(A32&gt;$B$4,"",SUM($E$15:E32))</x:f>
      </x:c>
      <x:c r="J32" s="1" t="str">
        <x:f>IF(A32&gt;$B$4,"Future",IF(A32=$B$4,"In progress",IF(COUNTIFS('Sessions'!$B$2:$B$21,A32,'Sessions'!$G$2:$G$21,"needs_confirmation")&gt;0,"Uncertain time",IF(E32=0,"No confirmed time","Logged"))))</x:f>
        <x:v>Future</x:v>
      </x:c>
    </x:row>
    <x:row r="33" ht="22" customHeight="1">
      <x:c r="A33" s="7" t="n">
        <x:v>46328</x:v>
      </x:c>
      <x:c r="B33" s="1" t="str">
        <x:v>Mon</x:v>
      </x:c>
      <x:c r="C33" s="7" t="n">
        <x:f>A33-WEEKDAY(A33,2)+1</x:f>
        <x:v>46328</x:v>
      </x:c>
      <x:c r="D33" s="6" t="n">
        <x:f>IF(WEEKDAY(A33,2)&gt;5,$B$7,IF(A33&lt;$B$8,$H$4,$B$6))</x:f>
        <x:v>7</x:v>
      </x:c>
      <x:c r="E33" s="6" t="str">
        <x:f>IF(A33&gt;$B$4,"",SUMIFS('Sessions'!$F$2:$F$21,'Sessions'!$B$2:$B$21,A33,'Sessions'!$G$2:$G$21,"completed")/60)</x:f>
      </x:c>
      <x:c r="F33" s="6" t="str">
        <x:f>IF(A33&gt;=$B$4,"",MAX(D33-E33,0))</x:f>
      </x:c>
      <x:c r="G33" s="6" t="str">
        <x:f>IF(A33&gt;=$B$4,"",MAX(E33-D33,0))</x:f>
      </x:c>
      <x:c r="H33" s="6" t="str">
        <x:f>IF(A33&gt;=$B$4,"",SUM($D$15:D33))</x:f>
      </x:c>
      <x:c r="I33" s="6" t="str">
        <x:f>IF(A33&gt;$B$4,"",SUM($E$15:E33))</x:f>
      </x:c>
      <x:c r="J33" s="1" t="str">
        <x:f>IF(A33&gt;$B$4,"Future",IF(A33=$B$4,"In progress",IF(COUNTIFS('Sessions'!$B$2:$B$21,A33,'Sessions'!$G$2:$G$21,"needs_confirmation")&gt;0,"Uncertain time",IF(E33=0,"No confirmed time","Logged"))))</x:f>
        <x:v>Future</x:v>
      </x:c>
    </x:row>
    <x:row r="34" ht="22" customHeight="1">
      <x:c r="A34" s="7" t="n">
        <x:v>46329</x:v>
      </x:c>
      <x:c r="B34" s="1" t="str">
        <x:v>Tue</x:v>
      </x:c>
      <x:c r="C34" s="7" t="n">
        <x:f>A34-WEEKDAY(A34,2)+1</x:f>
        <x:v>46328</x:v>
      </x:c>
      <x:c r="D34" s="6" t="n">
        <x:f>IF(WEEKDAY(A34,2)&gt;5,$B$7,IF(A34&lt;$B$8,$H$4,$B$6))</x:f>
        <x:v>7</x:v>
      </x:c>
      <x:c r="E34" s="6" t="str">
        <x:f>IF(A34&gt;$B$4,"",SUMIFS('Sessions'!$F$2:$F$21,'Sessions'!$B$2:$B$21,A34,'Sessions'!$G$2:$G$21,"completed")/60)</x:f>
      </x:c>
      <x:c r="F34" s="6" t="str">
        <x:f>IF(A34&gt;=$B$4,"",MAX(D34-E34,0))</x:f>
      </x:c>
      <x:c r="G34" s="6" t="str">
        <x:f>IF(A34&gt;=$B$4,"",MAX(E34-D34,0))</x:f>
      </x:c>
      <x:c r="H34" s="6" t="str">
        <x:f>IF(A34&gt;=$B$4,"",SUM($D$15:D34))</x:f>
      </x:c>
      <x:c r="I34" s="6" t="str">
        <x:f>IF(A34&gt;$B$4,"",SUM($E$15:E34))</x:f>
      </x:c>
      <x:c r="J34" s="1" t="str">
        <x:f>IF(A34&gt;$B$4,"Future",IF(A34=$B$4,"In progress",IF(COUNTIFS('Sessions'!$B$2:$B$21,A34,'Sessions'!$G$2:$G$21,"needs_confirmation")&gt;0,"Uncertain time",IF(E34=0,"No confirmed time","Logged"))))</x:f>
        <x:v>Future</x:v>
      </x:c>
    </x:row>
    <x:row r="35" ht="22" customHeight="1">
      <x:c r="A35" s="7" t="n">
        <x:v>46330</x:v>
      </x:c>
      <x:c r="B35" s="1" t="str">
        <x:v>Wed</x:v>
      </x:c>
      <x:c r="C35" s="7" t="n">
        <x:f>A35-WEEKDAY(A35,2)+1</x:f>
        <x:v>46328</x:v>
      </x:c>
      <x:c r="D35" s="6" t="n">
        <x:f>IF(WEEKDAY(A35,2)&gt;5,$B$7,IF(A35&lt;$B$8,$H$4,$B$6))</x:f>
        <x:v>7</x:v>
      </x:c>
      <x:c r="E35" s="6" t="str">
        <x:f>IF(A35&gt;$B$4,"",SUMIFS('Sessions'!$F$2:$F$21,'Sessions'!$B$2:$B$21,A35,'Sessions'!$G$2:$G$21,"completed")/60)</x:f>
      </x:c>
      <x:c r="F35" s="6" t="str">
        <x:f>IF(A35&gt;=$B$4,"",MAX(D35-E35,0))</x:f>
      </x:c>
      <x:c r="G35" s="6" t="str">
        <x:f>IF(A35&gt;=$B$4,"",MAX(E35-D35,0))</x:f>
      </x:c>
      <x:c r="H35" s="6" t="str">
        <x:f>IF(A35&gt;=$B$4,"",SUM($D$15:D35))</x:f>
      </x:c>
      <x:c r="I35" s="6" t="str">
        <x:f>IF(A35&gt;$B$4,"",SUM($E$15:E35))</x:f>
      </x:c>
      <x:c r="J35" s="1" t="str">
        <x:f>IF(A35&gt;$B$4,"Future",IF(A35=$B$4,"In progress",IF(COUNTIFS('Sessions'!$B$2:$B$21,A35,'Sessions'!$G$2:$G$21,"needs_confirmation")&gt;0,"Uncertain time",IF(E35=0,"No confirmed time","Logged"))))</x:f>
        <x:v>Future</x:v>
      </x:c>
    </x:row>
    <x:row r="36" ht="22" customHeight="1">
      <x:c r="A36" s="7" t="n">
        <x:v>46331</x:v>
      </x:c>
      <x:c r="B36" s="1" t="str">
        <x:v>Thu</x:v>
      </x:c>
      <x:c r="C36" s="7" t="n">
        <x:f>A36-WEEKDAY(A36,2)+1</x:f>
        <x:v>46328</x:v>
      </x:c>
      <x:c r="D36" s="6" t="n">
        <x:f>IF(WEEKDAY(A36,2)&gt;5,$B$7,IF(A36&lt;$B$8,$H$4,$B$6))</x:f>
        <x:v>7</x:v>
      </x:c>
      <x:c r="E36" s="6" t="str">
        <x:f>IF(A36&gt;$B$4,"",SUMIFS('Sessions'!$F$2:$F$21,'Sessions'!$B$2:$B$21,A36,'Sessions'!$G$2:$G$21,"completed")/60)</x:f>
      </x:c>
      <x:c r="F36" s="6" t="str">
        <x:f>IF(A36&gt;=$B$4,"",MAX(D36-E36,0))</x:f>
      </x:c>
      <x:c r="G36" s="6" t="str">
        <x:f>IF(A36&gt;=$B$4,"",MAX(E36-D36,0))</x:f>
      </x:c>
      <x:c r="H36" s="6" t="str">
        <x:f>IF(A36&gt;=$B$4,"",SUM($D$15:D36))</x:f>
      </x:c>
      <x:c r="I36" s="6" t="str">
        <x:f>IF(A36&gt;$B$4,"",SUM($E$15:E36))</x:f>
      </x:c>
      <x:c r="J36" s="1" t="str">
        <x:f>IF(A36&gt;$B$4,"Future",IF(A36=$B$4,"In progress",IF(COUNTIFS('Sessions'!$B$2:$B$21,A36,'Sessions'!$G$2:$G$21,"needs_confirmation")&gt;0,"Uncertain time",IF(E36=0,"No confirmed time","Logged"))))</x:f>
        <x:v>Future</x:v>
      </x:c>
    </x:row>
    <x:row r="37" ht="22" customHeight="1">
      <x:c r="A37" s="7" t="n">
        <x:v>46332</x:v>
      </x:c>
      <x:c r="B37" s="1" t="str">
        <x:v>Fri</x:v>
      </x:c>
      <x:c r="C37" s="7" t="n">
        <x:f>A37-WEEKDAY(A37,2)+1</x:f>
        <x:v>46328</x:v>
      </x:c>
      <x:c r="D37" s="6" t="n">
        <x:f>IF(WEEKDAY(A37,2)&gt;5,$B$7,IF(A37&lt;$B$8,$H$4,$B$6))</x:f>
        <x:v>7</x:v>
      </x:c>
      <x:c r="E37" s="6" t="str">
        <x:f>IF(A37&gt;$B$4,"",SUMIFS('Sessions'!$F$2:$F$21,'Sessions'!$B$2:$B$21,A37,'Sessions'!$G$2:$G$21,"completed")/60)</x:f>
      </x:c>
      <x:c r="F37" s="6" t="str">
        <x:f>IF(A37&gt;=$B$4,"",MAX(D37-E37,0))</x:f>
      </x:c>
      <x:c r="G37" s="6" t="str">
        <x:f>IF(A37&gt;=$B$4,"",MAX(E37-D37,0))</x:f>
      </x:c>
      <x:c r="H37" s="6" t="str">
        <x:f>IF(A37&gt;=$B$4,"",SUM($D$15:D37))</x:f>
      </x:c>
      <x:c r="I37" s="6" t="str">
        <x:f>IF(A37&gt;$B$4,"",SUM($E$15:E37))</x:f>
      </x:c>
      <x:c r="J37" s="1" t="str">
        <x:f>IF(A37&gt;$B$4,"Future",IF(A37=$B$4,"In progress",IF(COUNTIFS('Sessions'!$B$2:$B$21,A37,'Sessions'!$G$2:$G$21,"needs_confirmation")&gt;0,"Uncertain time",IF(E37=0,"No confirmed time","Logged"))))</x:f>
        <x:v>Future</x:v>
      </x:c>
    </x:row>
    <x:row r="38" ht="22" customHeight="1">
      <x:c r="A38" s="7" t="n">
        <x:v>46333</x:v>
      </x:c>
      <x:c r="B38" s="1" t="str">
        <x:v>Sat</x:v>
      </x:c>
      <x:c r="C38" s="7" t="n">
        <x:f>A38-WEEKDAY(A38,2)+1</x:f>
        <x:v>46328</x:v>
      </x:c>
      <x:c r="D38" s="6" t="n">
        <x:f>IF(WEEKDAY(A38,2)&gt;5,$B$7,IF(A38&lt;$B$8,$H$4,$B$6))</x:f>
        <x:v>10</x:v>
      </x:c>
      <x:c r="E38" s="6" t="str">
        <x:f>IF(A38&gt;$B$4,"",SUMIFS('Sessions'!$F$2:$F$21,'Sessions'!$B$2:$B$21,A38,'Sessions'!$G$2:$G$21,"completed")/60)</x:f>
      </x:c>
      <x:c r="F38" s="6" t="str">
        <x:f>IF(A38&gt;=$B$4,"",MAX(D38-E38,0))</x:f>
      </x:c>
      <x:c r="G38" s="6" t="str">
        <x:f>IF(A38&gt;=$B$4,"",MAX(E38-D38,0))</x:f>
      </x:c>
      <x:c r="H38" s="6" t="str">
        <x:f>IF(A38&gt;=$B$4,"",SUM($D$15:D38))</x:f>
      </x:c>
      <x:c r="I38" s="6" t="str">
        <x:f>IF(A38&gt;$B$4,"",SUM($E$15:E38))</x:f>
      </x:c>
      <x:c r="J38" s="1" t="str">
        <x:f>IF(A38&gt;$B$4,"Future",IF(A38=$B$4,"In progress",IF(COUNTIFS('Sessions'!$B$2:$B$21,A38,'Sessions'!$G$2:$G$21,"needs_confirmation")&gt;0,"Uncertain time",IF(E38=0,"No confirmed time","Logged"))))</x:f>
        <x:v>Future</x:v>
      </x:c>
    </x:row>
    <x:row r="39" ht="22" customHeight="1">
      <x:c r="A39" s="7" t="n">
        <x:v>46334</x:v>
      </x:c>
      <x:c r="B39" s="1" t="str">
        <x:v>Sun</x:v>
      </x:c>
      <x:c r="C39" s="7" t="n">
        <x:f>A39-WEEKDAY(A39,2)+1</x:f>
        <x:v>46328</x:v>
      </x:c>
      <x:c r="D39" s="6" t="n">
        <x:f>IF(WEEKDAY(A39,2)&gt;5,$B$7,IF(A39&lt;$B$8,$H$4,$B$6))</x:f>
        <x:v>10</x:v>
      </x:c>
      <x:c r="E39" s="6" t="str">
        <x:f>IF(A39&gt;$B$4,"",SUMIFS('Sessions'!$F$2:$F$21,'Sessions'!$B$2:$B$21,A39,'Sessions'!$G$2:$G$21,"completed")/60)</x:f>
      </x:c>
      <x:c r="F39" s="6" t="str">
        <x:f>IF(A39&gt;=$B$4,"",MAX(D39-E39,0))</x:f>
      </x:c>
      <x:c r="G39" s="6" t="str">
        <x:f>IF(A39&gt;=$B$4,"",MAX(E39-D39,0))</x:f>
      </x:c>
      <x:c r="H39" s="6" t="str">
        <x:f>IF(A39&gt;=$B$4,"",SUM($D$15:D39))</x:f>
      </x:c>
      <x:c r="I39" s="6" t="str">
        <x:f>IF(A39&gt;$B$4,"",SUM($E$15:E39))</x:f>
      </x:c>
      <x:c r="J39" s="1" t="str">
        <x:f>IF(A39&gt;$B$4,"Future",IF(A39=$B$4,"In progress",IF(COUNTIFS('Sessions'!$B$2:$B$21,A39,'Sessions'!$G$2:$G$21,"needs_confirmation")&gt;0,"Uncertain time",IF(E39=0,"No confirmed time","Logged"))))</x:f>
        <x:v>Future</x:v>
      </x:c>
    </x:row>
    <x:row r="40" ht="22" customHeight="1">
      <x:c r="A40" s="7" t="n">
        <x:v>46335</x:v>
      </x:c>
      <x:c r="B40" s="1" t="str">
        <x:v>Mon</x:v>
      </x:c>
      <x:c r="C40" s="7" t="n">
        <x:f>A40-WEEKDAY(A40,2)+1</x:f>
        <x:v>46335</x:v>
      </x:c>
      <x:c r="D40" s="6" t="n">
        <x:f>IF(WEEKDAY(A40,2)&gt;5,$B$7,IF(A40&lt;$B$8,$H$4,$B$6))</x:f>
        <x:v>7</x:v>
      </x:c>
      <x:c r="E40" s="6" t="str">
        <x:f>IF(A40&gt;$B$4,"",SUMIFS('Sessions'!$F$2:$F$21,'Sessions'!$B$2:$B$21,A40,'Sessions'!$G$2:$G$21,"completed")/60)</x:f>
      </x:c>
      <x:c r="F40" s="6" t="str">
        <x:f>IF(A40&gt;=$B$4,"",MAX(D40-E40,0))</x:f>
      </x:c>
      <x:c r="G40" s="6" t="str">
        <x:f>IF(A40&gt;=$B$4,"",MAX(E40-D40,0))</x:f>
      </x:c>
      <x:c r="H40" s="6" t="str">
        <x:f>IF(A40&gt;=$B$4,"",SUM($D$15:D40))</x:f>
      </x:c>
      <x:c r="I40" s="6" t="str">
        <x:f>IF(A40&gt;$B$4,"",SUM($E$15:E40))</x:f>
      </x:c>
      <x:c r="J40" s="1" t="str">
        <x:f>IF(A40&gt;$B$4,"Future",IF(A40=$B$4,"In progress",IF(COUNTIFS('Sessions'!$B$2:$B$21,A40,'Sessions'!$G$2:$G$21,"needs_confirmation")&gt;0,"Uncertain time",IF(E40=0,"No confirmed time","Logged"))))</x:f>
        <x:v>Future</x:v>
      </x:c>
    </x:row>
    <x:row r="41" ht="22" customHeight="1">
      <x:c r="A41" s="7" t="n">
        <x:v>46336</x:v>
      </x:c>
      <x:c r="B41" s="1" t="str">
        <x:v>Tue</x:v>
      </x:c>
      <x:c r="C41" s="7" t="n">
        <x:f>A41-WEEKDAY(A41,2)+1</x:f>
        <x:v>46335</x:v>
      </x:c>
      <x:c r="D41" s="6" t="n">
        <x:f>IF(WEEKDAY(A41,2)&gt;5,$B$7,IF(A41&lt;$B$8,$H$4,$B$6))</x:f>
        <x:v>7</x:v>
      </x:c>
      <x:c r="E41" s="6" t="str">
        <x:f>IF(A41&gt;$B$4,"",SUMIFS('Sessions'!$F$2:$F$21,'Sessions'!$B$2:$B$21,A41,'Sessions'!$G$2:$G$21,"completed")/60)</x:f>
      </x:c>
      <x:c r="F41" s="6" t="str">
        <x:f>IF(A41&gt;=$B$4,"",MAX(D41-E41,0))</x:f>
      </x:c>
      <x:c r="G41" s="6" t="str">
        <x:f>IF(A41&gt;=$B$4,"",MAX(E41-D41,0))</x:f>
      </x:c>
      <x:c r="H41" s="6" t="str">
        <x:f>IF(A41&gt;=$B$4,"",SUM($D$15:D41))</x:f>
      </x:c>
      <x:c r="I41" s="6" t="str">
        <x:f>IF(A41&gt;$B$4,"",SUM($E$15:E41))</x:f>
      </x:c>
      <x:c r="J41" s="1" t="str">
        <x:f>IF(A41&gt;$B$4,"Future",IF(A41=$B$4,"In progress",IF(COUNTIFS('Sessions'!$B$2:$B$21,A41,'Sessions'!$G$2:$G$21,"needs_confirmation")&gt;0,"Uncertain time",IF(E41=0,"No confirmed time","Logged"))))</x:f>
        <x:v>Future</x:v>
      </x:c>
    </x:row>
    <x:row r="42" ht="22" customHeight="1">
      <x:c r="A42" s="7" t="n">
        <x:v>46337</x:v>
      </x:c>
      <x:c r="B42" s="1" t="str">
        <x:v>Wed</x:v>
      </x:c>
      <x:c r="C42" s="7" t="n">
        <x:f>A42-WEEKDAY(A42,2)+1</x:f>
        <x:v>46335</x:v>
      </x:c>
      <x:c r="D42" s="6" t="n">
        <x:f>IF(WEEKDAY(A42,2)&gt;5,$B$7,IF(A42&lt;$B$8,$H$4,$B$6))</x:f>
        <x:v>7</x:v>
      </x:c>
      <x:c r="E42" s="6" t="str">
        <x:f>IF(A42&gt;$B$4,"",SUMIFS('Sessions'!$F$2:$F$21,'Sessions'!$B$2:$B$21,A42,'Sessions'!$G$2:$G$21,"completed")/60)</x:f>
      </x:c>
      <x:c r="F42" s="6" t="str">
        <x:f>IF(A42&gt;=$B$4,"",MAX(D42-E42,0))</x:f>
      </x:c>
      <x:c r="G42" s="6" t="str">
        <x:f>IF(A42&gt;=$B$4,"",MAX(E42-D42,0))</x:f>
      </x:c>
      <x:c r="H42" s="6" t="str">
        <x:f>IF(A42&gt;=$B$4,"",SUM($D$15:D42))</x:f>
      </x:c>
      <x:c r="I42" s="6" t="str">
        <x:f>IF(A42&gt;$B$4,"",SUM($E$15:E42))</x:f>
      </x:c>
      <x:c r="J42" s="1" t="str">
        <x:f>IF(A42&gt;$B$4,"Future",IF(A42=$B$4,"In progress",IF(COUNTIFS('Sessions'!$B$2:$B$21,A42,'Sessions'!$G$2:$G$21,"needs_confirmation")&gt;0,"Uncertain time",IF(E42=0,"No confirmed time","Logged"))))</x:f>
        <x:v>Future</x:v>
      </x:c>
    </x:row>
    <x:row r="43" ht="22" customHeight="1">
      <x:c r="A43" s="7" t="n">
        <x:v>46338</x:v>
      </x:c>
      <x:c r="B43" s="1" t="str">
        <x:v>Thu</x:v>
      </x:c>
      <x:c r="C43" s="7" t="n">
        <x:f>A43-WEEKDAY(A43,2)+1</x:f>
        <x:v>46335</x:v>
      </x:c>
      <x:c r="D43" s="6" t="n">
        <x:f>IF(WEEKDAY(A43,2)&gt;5,$B$7,IF(A43&lt;$B$8,$H$4,$B$6))</x:f>
        <x:v>7</x:v>
      </x:c>
      <x:c r="E43" s="6" t="str">
        <x:f>IF(A43&gt;$B$4,"",SUMIFS('Sessions'!$F$2:$F$21,'Sessions'!$B$2:$B$21,A43,'Sessions'!$G$2:$G$21,"completed")/60)</x:f>
      </x:c>
      <x:c r="F43" s="6" t="str">
        <x:f>IF(A43&gt;=$B$4,"",MAX(D43-E43,0))</x:f>
      </x:c>
      <x:c r="G43" s="6" t="str">
        <x:f>IF(A43&gt;=$B$4,"",MAX(E43-D43,0))</x:f>
      </x:c>
      <x:c r="H43" s="6" t="str">
        <x:f>IF(A43&gt;=$B$4,"",SUM($D$15:D43))</x:f>
      </x:c>
      <x:c r="I43" s="6" t="str">
        <x:f>IF(A43&gt;$B$4,"",SUM($E$15:E43))</x:f>
      </x:c>
      <x:c r="J43" s="1" t="str">
        <x:f>IF(A43&gt;$B$4,"Future",IF(A43=$B$4,"In progress",IF(COUNTIFS('Sessions'!$B$2:$B$21,A43,'Sessions'!$G$2:$G$21,"needs_confirmation")&gt;0,"Uncertain time",IF(E43=0,"No confirmed time","Logged"))))</x:f>
        <x:v>Future</x:v>
      </x:c>
    </x:row>
    <x:row r="44" ht="22" customHeight="1">
      <x:c r="A44" s="7" t="n">
        <x:v>46339</x:v>
      </x:c>
      <x:c r="B44" s="1" t="str">
        <x:v>Fri</x:v>
      </x:c>
      <x:c r="C44" s="7" t="n">
        <x:f>A44-WEEKDAY(A44,2)+1</x:f>
        <x:v>46335</x:v>
      </x:c>
      <x:c r="D44" s="6" t="n">
        <x:f>IF(WEEKDAY(A44,2)&gt;5,$B$7,IF(A44&lt;$B$8,$H$4,$B$6))</x:f>
        <x:v>7</x:v>
      </x:c>
      <x:c r="E44" s="6" t="str">
        <x:f>IF(A44&gt;$B$4,"",SUMIFS('Sessions'!$F$2:$F$21,'Sessions'!$B$2:$B$21,A44,'Sessions'!$G$2:$G$21,"completed")/60)</x:f>
      </x:c>
      <x:c r="F44" s="6" t="str">
        <x:f>IF(A44&gt;=$B$4,"",MAX(D44-E44,0))</x:f>
      </x:c>
      <x:c r="G44" s="6" t="str">
        <x:f>IF(A44&gt;=$B$4,"",MAX(E44-D44,0))</x:f>
      </x:c>
      <x:c r="H44" s="6" t="str">
        <x:f>IF(A44&gt;=$B$4,"",SUM($D$15:D44))</x:f>
      </x:c>
      <x:c r="I44" s="6" t="str">
        <x:f>IF(A44&gt;$B$4,"",SUM($E$15:E44))</x:f>
      </x:c>
      <x:c r="J44" s="1" t="str">
        <x:f>IF(A44&gt;$B$4,"Future",IF(A44=$B$4,"In progress",IF(COUNTIFS('Sessions'!$B$2:$B$21,A44,'Sessions'!$G$2:$G$21,"needs_confirmation")&gt;0,"Uncertain time",IF(E44=0,"No confirmed time","Logged"))))</x:f>
        <x:v>Future</x:v>
      </x:c>
    </x:row>
    <x:row r="45" ht="22" customHeight="1">
      <x:c r="A45" s="7" t="n">
        <x:v>46340</x:v>
      </x:c>
      <x:c r="B45" s="1" t="str">
        <x:v>Sat</x:v>
      </x:c>
      <x:c r="C45" s="7" t="n">
        <x:f>A45-WEEKDAY(A45,2)+1</x:f>
        <x:v>46335</x:v>
      </x:c>
      <x:c r="D45" s="6" t="n">
        <x:f>IF(WEEKDAY(A45,2)&gt;5,$B$7,IF(A45&lt;$B$8,$H$4,$B$6))</x:f>
        <x:v>10</x:v>
      </x:c>
      <x:c r="E45" s="6" t="str">
        <x:f>IF(A45&gt;$B$4,"",SUMIFS('Sessions'!$F$2:$F$21,'Sessions'!$B$2:$B$21,A45,'Sessions'!$G$2:$G$21,"completed")/60)</x:f>
      </x:c>
      <x:c r="F45" s="6" t="str">
        <x:f>IF(A45&gt;=$B$4,"",MAX(D45-E45,0))</x:f>
      </x:c>
      <x:c r="G45" s="6" t="str">
        <x:f>IF(A45&gt;=$B$4,"",MAX(E45-D45,0))</x:f>
      </x:c>
      <x:c r="H45" s="6" t="str">
        <x:f>IF(A45&gt;=$B$4,"",SUM($D$15:D45))</x:f>
      </x:c>
      <x:c r="I45" s="6" t="str">
        <x:f>IF(A45&gt;$B$4,"",SUM($E$15:E45))</x:f>
      </x:c>
      <x:c r="J45" s="1" t="str">
        <x:f>IF(A45&gt;$B$4,"Future",IF(A45=$B$4,"In progress",IF(COUNTIFS('Sessions'!$B$2:$B$21,A45,'Sessions'!$G$2:$G$21,"needs_confirmation")&gt;0,"Uncertain time",IF(E45=0,"No confirmed time","Logged"))))</x:f>
        <x:v>Future</x:v>
      </x:c>
    </x:row>
    <x:row r="46" ht="22" customHeight="1">
      <x:c r="A46" s="7" t="n">
        <x:v>46341</x:v>
      </x:c>
      <x:c r="B46" s="1" t="str">
        <x:v>Sun</x:v>
      </x:c>
      <x:c r="C46" s="7" t="n">
        <x:f>A46-WEEKDAY(A46,2)+1</x:f>
        <x:v>46335</x:v>
      </x:c>
      <x:c r="D46" s="6" t="n">
        <x:f>IF(WEEKDAY(A46,2)&gt;5,$B$7,IF(A46&lt;$B$8,$H$4,$B$6))</x:f>
        <x:v>10</x:v>
      </x:c>
      <x:c r="E46" s="6" t="str">
        <x:f>IF(A46&gt;$B$4,"",SUMIFS('Sessions'!$F$2:$F$21,'Sessions'!$B$2:$B$21,A46,'Sessions'!$G$2:$G$21,"completed")/60)</x:f>
      </x:c>
      <x:c r="F46" s="6" t="str">
        <x:f>IF(A46&gt;=$B$4,"",MAX(D46-E46,0))</x:f>
      </x:c>
      <x:c r="G46" s="6" t="str">
        <x:f>IF(A46&gt;=$B$4,"",MAX(E46-D46,0))</x:f>
      </x:c>
      <x:c r="H46" s="6" t="str">
        <x:f>IF(A46&gt;=$B$4,"",SUM($D$15:D46))</x:f>
      </x:c>
      <x:c r="I46" s="6" t="str">
        <x:f>IF(A46&gt;$B$4,"",SUM($E$15:E46))</x:f>
      </x:c>
      <x:c r="J46" s="1" t="str">
        <x:f>IF(A46&gt;$B$4,"Future",IF(A46=$B$4,"In progress",IF(COUNTIFS('Sessions'!$B$2:$B$21,A46,'Sessions'!$G$2:$G$21,"needs_confirmation")&gt;0,"Uncertain time",IF(E46=0,"No confirmed time","Logged"))))</x:f>
        <x:v>Future</x:v>
      </x:c>
    </x:row>
    <x:row r="47" ht="22" customHeight="1">
      <x:c r="A47" s="7" t="n">
        <x:v>46342</x:v>
      </x:c>
      <x:c r="B47" s="1" t="str">
        <x:v>Mon</x:v>
      </x:c>
      <x:c r="C47" s="7" t="n">
        <x:f>A47-WEEKDAY(A47,2)+1</x:f>
        <x:v>46342</x:v>
      </x:c>
      <x:c r="D47" s="6" t="n">
        <x:f>IF(WEEKDAY(A47,2)&gt;5,$B$7,IF(A47&lt;$B$8,$H$4,$B$6))</x:f>
        <x:v>7</x:v>
      </x:c>
      <x:c r="E47" s="6" t="str">
        <x:f>IF(A47&gt;$B$4,"",SUMIFS('Sessions'!$F$2:$F$21,'Sessions'!$B$2:$B$21,A47,'Sessions'!$G$2:$G$21,"completed")/60)</x:f>
      </x:c>
      <x:c r="F47" s="6" t="str">
        <x:f>IF(A47&gt;=$B$4,"",MAX(D47-E47,0))</x:f>
      </x:c>
      <x:c r="G47" s="6" t="str">
        <x:f>IF(A47&gt;=$B$4,"",MAX(E47-D47,0))</x:f>
      </x:c>
      <x:c r="H47" s="6" t="str">
        <x:f>IF(A47&gt;=$B$4,"",SUM($D$15:D47))</x:f>
      </x:c>
      <x:c r="I47" s="6" t="str">
        <x:f>IF(A47&gt;$B$4,"",SUM($E$15:E47))</x:f>
      </x:c>
      <x:c r="J47" s="1" t="str">
        <x:f>IF(A47&gt;$B$4,"Future",IF(A47=$B$4,"In progress",IF(COUNTIFS('Sessions'!$B$2:$B$21,A47,'Sessions'!$G$2:$G$21,"needs_confirmation")&gt;0,"Uncertain time",IF(E47=0,"No confirmed time","Logged"))))</x:f>
        <x:v>Future</x:v>
      </x:c>
    </x:row>
    <x:row r="48" ht="22" customHeight="1">
      <x:c r="A48" s="7" t="n">
        <x:v>46343</x:v>
      </x:c>
      <x:c r="B48" s="1" t="str">
        <x:v>Tue</x:v>
      </x:c>
      <x:c r="C48" s="7" t="n">
        <x:f>A48-WEEKDAY(A48,2)+1</x:f>
        <x:v>46342</x:v>
      </x:c>
      <x:c r="D48" s="6" t="n">
        <x:f>IF(WEEKDAY(A48,2)&gt;5,$B$7,IF(A48&lt;$B$8,$H$4,$B$6))</x:f>
        <x:v>7</x:v>
      </x:c>
      <x:c r="E48" s="6" t="str">
        <x:f>IF(A48&gt;$B$4,"",SUMIFS('Sessions'!$F$2:$F$21,'Sessions'!$B$2:$B$21,A48,'Sessions'!$G$2:$G$21,"completed")/60)</x:f>
      </x:c>
      <x:c r="F48" s="6" t="str">
        <x:f>IF(A48&gt;=$B$4,"",MAX(D48-E48,0))</x:f>
      </x:c>
      <x:c r="G48" s="6" t="str">
        <x:f>IF(A48&gt;=$B$4,"",MAX(E48-D48,0))</x:f>
      </x:c>
      <x:c r="H48" s="6" t="str">
        <x:f>IF(A48&gt;=$B$4,"",SUM($D$15:D48))</x:f>
      </x:c>
      <x:c r="I48" s="6" t="str">
        <x:f>IF(A48&gt;$B$4,"",SUM($E$15:E48))</x:f>
      </x:c>
      <x:c r="J48" s="1" t="str">
        <x:f>IF(A48&gt;$B$4,"Future",IF(A48=$B$4,"In progress",IF(COUNTIFS('Sessions'!$B$2:$B$21,A48,'Sessions'!$G$2:$G$21,"needs_confirmation")&gt;0,"Uncertain time",IF(E48=0,"No confirmed time","Logged"))))</x:f>
        <x:v>Future</x:v>
      </x:c>
    </x:row>
    <x:row r="49" ht="22" customHeight="1">
      <x:c r="A49" s="7" t="n">
        <x:v>46344</x:v>
      </x:c>
      <x:c r="B49" s="1" t="str">
        <x:v>Wed</x:v>
      </x:c>
      <x:c r="C49" s="7" t="n">
        <x:f>A49-WEEKDAY(A49,2)+1</x:f>
        <x:v>46342</x:v>
      </x:c>
      <x:c r="D49" s="6" t="n">
        <x:f>IF(WEEKDAY(A49,2)&gt;5,$B$7,IF(A49&lt;$B$8,$H$4,$B$6))</x:f>
        <x:v>7</x:v>
      </x:c>
      <x:c r="E49" s="6" t="str">
        <x:f>IF(A49&gt;$B$4,"",SUMIFS('Sessions'!$F$2:$F$21,'Sessions'!$B$2:$B$21,A49,'Sessions'!$G$2:$G$21,"completed")/60)</x:f>
      </x:c>
      <x:c r="F49" s="6" t="str">
        <x:f>IF(A49&gt;=$B$4,"",MAX(D49-E49,0))</x:f>
      </x:c>
      <x:c r="G49" s="6" t="str">
        <x:f>IF(A49&gt;=$B$4,"",MAX(E49-D49,0))</x:f>
      </x:c>
      <x:c r="H49" s="6" t="str">
        <x:f>IF(A49&gt;=$B$4,"",SUM($D$15:D49))</x:f>
      </x:c>
      <x:c r="I49" s="6" t="str">
        <x:f>IF(A49&gt;$B$4,"",SUM($E$15:E49))</x:f>
      </x:c>
      <x:c r="J49" s="1" t="str">
        <x:f>IF(A49&gt;$B$4,"Future",IF(A49=$B$4,"In progress",IF(COUNTIFS('Sessions'!$B$2:$B$21,A49,'Sessions'!$G$2:$G$21,"needs_confirmation")&gt;0,"Uncertain time",IF(E49=0,"No confirmed time","Logged"))))</x:f>
        <x:v>Future</x:v>
      </x:c>
    </x:row>
    <x:row r="50" ht="22" customHeight="1">
      <x:c r="A50" s="7" t="n">
        <x:v>46345</x:v>
      </x:c>
      <x:c r="B50" s="1" t="str">
        <x:v>Thu</x:v>
      </x:c>
      <x:c r="C50" s="7" t="n">
        <x:f>A50-WEEKDAY(A50,2)+1</x:f>
        <x:v>46342</x:v>
      </x:c>
      <x:c r="D50" s="6" t="n">
        <x:f>IF(WEEKDAY(A50,2)&gt;5,$B$7,IF(A50&lt;$B$8,$H$4,$B$6))</x:f>
        <x:v>7</x:v>
      </x:c>
      <x:c r="E50" s="6" t="str">
        <x:f>IF(A50&gt;$B$4,"",SUMIFS('Sessions'!$F$2:$F$21,'Sessions'!$B$2:$B$21,A50,'Sessions'!$G$2:$G$21,"completed")/60)</x:f>
      </x:c>
      <x:c r="F50" s="6" t="str">
        <x:f>IF(A50&gt;=$B$4,"",MAX(D50-E50,0))</x:f>
      </x:c>
      <x:c r="G50" s="6" t="str">
        <x:f>IF(A50&gt;=$B$4,"",MAX(E50-D50,0))</x:f>
      </x:c>
      <x:c r="H50" s="6" t="str">
        <x:f>IF(A50&gt;=$B$4,"",SUM($D$15:D50))</x:f>
      </x:c>
      <x:c r="I50" s="6" t="str">
        <x:f>IF(A50&gt;$B$4,"",SUM($E$15:E50))</x:f>
      </x:c>
      <x:c r="J50" s="1" t="str">
        <x:f>IF(A50&gt;$B$4,"Future",IF(A50=$B$4,"In progress",IF(COUNTIFS('Sessions'!$B$2:$B$21,A50,'Sessions'!$G$2:$G$21,"needs_confirmation")&gt;0,"Uncertain time",IF(E50=0,"No confirmed time","Logged"))))</x:f>
        <x:v>Future</x:v>
      </x:c>
    </x:row>
    <x:row r="51" ht="22" customHeight="1">
      <x:c r="A51" s="7" t="n">
        <x:v>46346</x:v>
      </x:c>
      <x:c r="B51" s="1" t="str">
        <x:v>Fri</x:v>
      </x:c>
      <x:c r="C51" s="7" t="n">
        <x:f>A51-WEEKDAY(A51,2)+1</x:f>
        <x:v>46342</x:v>
      </x:c>
      <x:c r="D51" s="6" t="n">
        <x:f>IF(WEEKDAY(A51,2)&gt;5,$B$7,IF(A51&lt;$B$8,$H$4,$B$6))</x:f>
        <x:v>7</x:v>
      </x:c>
      <x:c r="E51" s="6" t="str">
        <x:f>IF(A51&gt;$B$4,"",SUMIFS('Sessions'!$F$2:$F$21,'Sessions'!$B$2:$B$21,A51,'Sessions'!$G$2:$G$21,"completed")/60)</x:f>
      </x:c>
      <x:c r="F51" s="6" t="str">
        <x:f>IF(A51&gt;=$B$4,"",MAX(D51-E51,0))</x:f>
      </x:c>
      <x:c r="G51" s="6" t="str">
        <x:f>IF(A51&gt;=$B$4,"",MAX(E51-D51,0))</x:f>
      </x:c>
      <x:c r="H51" s="6" t="str">
        <x:f>IF(A51&gt;=$B$4,"",SUM($D$15:D51))</x:f>
      </x:c>
      <x:c r="I51" s="6" t="str">
        <x:f>IF(A51&gt;$B$4,"",SUM($E$15:E51))</x:f>
      </x:c>
      <x:c r="J51" s="1" t="str">
        <x:f>IF(A51&gt;$B$4,"Future",IF(A51=$B$4,"In progress",IF(COUNTIFS('Sessions'!$B$2:$B$21,A51,'Sessions'!$G$2:$G$21,"needs_confirmation")&gt;0,"Uncertain time",IF(E51=0,"No confirmed time","Logged"))))</x:f>
        <x:v>Future</x:v>
      </x:c>
    </x:row>
    <x:row r="52" ht="22" customHeight="1">
      <x:c r="A52" s="7" t="n">
        <x:v>46347</x:v>
      </x:c>
      <x:c r="B52" s="1" t="str">
        <x:v>Sat</x:v>
      </x:c>
      <x:c r="C52" s="7" t="n">
        <x:f>A52-WEEKDAY(A52,2)+1</x:f>
        <x:v>46342</x:v>
      </x:c>
      <x:c r="D52" s="6" t="n">
        <x:f>IF(WEEKDAY(A52,2)&gt;5,$B$7,IF(A52&lt;$B$8,$H$4,$B$6))</x:f>
        <x:v>10</x:v>
      </x:c>
      <x:c r="E52" s="6" t="str">
        <x:f>IF(A52&gt;$B$4,"",SUMIFS('Sessions'!$F$2:$F$21,'Sessions'!$B$2:$B$21,A52,'Sessions'!$G$2:$G$21,"completed")/60)</x:f>
      </x:c>
      <x:c r="F52" s="6" t="str">
        <x:f>IF(A52&gt;=$B$4,"",MAX(D52-E52,0))</x:f>
      </x:c>
      <x:c r="G52" s="6" t="str">
        <x:f>IF(A52&gt;=$B$4,"",MAX(E52-D52,0))</x:f>
      </x:c>
      <x:c r="H52" s="6" t="str">
        <x:f>IF(A52&gt;=$B$4,"",SUM($D$15:D52))</x:f>
      </x:c>
      <x:c r="I52" s="6" t="str">
        <x:f>IF(A52&gt;$B$4,"",SUM($E$15:E52))</x:f>
      </x:c>
      <x:c r="J52" s="1" t="str">
        <x:f>IF(A52&gt;$B$4,"Future",IF(A52=$B$4,"In progress",IF(COUNTIFS('Sessions'!$B$2:$B$21,A52,'Sessions'!$G$2:$G$21,"needs_confirmation")&gt;0,"Uncertain time",IF(E52=0,"No confirmed time","Logged"))))</x:f>
        <x:v>Future</x:v>
      </x:c>
    </x:row>
    <x:row r="53" ht="22" customHeight="1">
      <x:c r="A53" s="7" t="n">
        <x:v>46348</x:v>
      </x:c>
      <x:c r="B53" s="1" t="str">
        <x:v>Sun</x:v>
      </x:c>
      <x:c r="C53" s="7" t="n">
        <x:f>A53-WEEKDAY(A53,2)+1</x:f>
        <x:v>46342</x:v>
      </x:c>
      <x:c r="D53" s="6" t="n">
        <x:f>IF(WEEKDAY(A53,2)&gt;5,$B$7,IF(A53&lt;$B$8,$H$4,$B$6))</x:f>
        <x:v>10</x:v>
      </x:c>
      <x:c r="E53" s="6" t="str">
        <x:f>IF(A53&gt;$B$4,"",SUMIFS('Sessions'!$F$2:$F$21,'Sessions'!$B$2:$B$21,A53,'Sessions'!$G$2:$G$21,"completed")/60)</x:f>
      </x:c>
      <x:c r="F53" s="6" t="str">
        <x:f>IF(A53&gt;=$B$4,"",MAX(D53-E53,0))</x:f>
      </x:c>
      <x:c r="G53" s="6" t="str">
        <x:f>IF(A53&gt;=$B$4,"",MAX(E53-D53,0))</x:f>
      </x:c>
      <x:c r="H53" s="6" t="str">
        <x:f>IF(A53&gt;=$B$4,"",SUM($D$15:D53))</x:f>
      </x:c>
      <x:c r="I53" s="6" t="str">
        <x:f>IF(A53&gt;$B$4,"",SUM($E$15:E53))</x:f>
      </x:c>
      <x:c r="J53" s="1" t="str">
        <x:f>IF(A53&gt;$B$4,"Future",IF(A53=$B$4,"In progress",IF(COUNTIFS('Sessions'!$B$2:$B$21,A53,'Sessions'!$G$2:$G$21,"needs_confirmation")&gt;0,"Uncertain time",IF(E53=0,"No confirmed time","Logged"))))</x:f>
        <x:v>Future</x:v>
      </x:c>
    </x:row>
    <x:row r="54" ht="22" customHeight="1">
      <x:c r="A54" s="7" t="n">
        <x:v>46349</x:v>
      </x:c>
      <x:c r="B54" s="1" t="str">
        <x:v>Mon</x:v>
      </x:c>
      <x:c r="C54" s="7" t="n">
        <x:f>A54-WEEKDAY(A54,2)+1</x:f>
        <x:v>46349</x:v>
      </x:c>
      <x:c r="D54" s="6" t="n">
        <x:f>IF(WEEKDAY(A54,2)&gt;5,$B$7,IF(A54&lt;$B$8,$H$4,$B$6))</x:f>
        <x:v>7</x:v>
      </x:c>
      <x:c r="E54" s="6" t="str">
        <x:f>IF(A54&gt;$B$4,"",SUMIFS('Sessions'!$F$2:$F$21,'Sessions'!$B$2:$B$21,A54,'Sessions'!$G$2:$G$21,"completed")/60)</x:f>
      </x:c>
      <x:c r="F54" s="6" t="str">
        <x:f>IF(A54&gt;=$B$4,"",MAX(D54-E54,0))</x:f>
      </x:c>
      <x:c r="G54" s="6" t="str">
        <x:f>IF(A54&gt;=$B$4,"",MAX(E54-D54,0))</x:f>
      </x:c>
      <x:c r="H54" s="6" t="str">
        <x:f>IF(A54&gt;=$B$4,"",SUM($D$15:D54))</x:f>
      </x:c>
      <x:c r="I54" s="6" t="str">
        <x:f>IF(A54&gt;$B$4,"",SUM($E$15:E54))</x:f>
      </x:c>
      <x:c r="J54" s="1" t="str">
        <x:f>IF(A54&gt;$B$4,"Future",IF(A54=$B$4,"In progress",IF(COUNTIFS('Sessions'!$B$2:$B$21,A54,'Sessions'!$G$2:$G$21,"needs_confirmation")&gt;0,"Uncertain time",IF(E54=0,"No confirmed time","Logged"))))</x:f>
        <x:v>Future</x:v>
      </x:c>
    </x:row>
    <x:row r="55" ht="22" customHeight="1">
      <x:c r="A55" s="7" t="n">
        <x:v>46350</x:v>
      </x:c>
      <x:c r="B55" s="1" t="str">
        <x:v>Tue</x:v>
      </x:c>
      <x:c r="C55" s="7" t="n">
        <x:f>A55-WEEKDAY(A55,2)+1</x:f>
        <x:v>46349</x:v>
      </x:c>
      <x:c r="D55" s="6" t="n">
        <x:f>IF(WEEKDAY(A55,2)&gt;5,$B$7,IF(A55&lt;$B$8,$H$4,$B$6))</x:f>
        <x:v>7</x:v>
      </x:c>
      <x:c r="E55" s="6" t="str">
        <x:f>IF(A55&gt;$B$4,"",SUMIFS('Sessions'!$F$2:$F$21,'Sessions'!$B$2:$B$21,A55,'Sessions'!$G$2:$G$21,"completed")/60)</x:f>
      </x:c>
      <x:c r="F55" s="6" t="str">
        <x:f>IF(A55&gt;=$B$4,"",MAX(D55-E55,0))</x:f>
      </x:c>
      <x:c r="G55" s="6" t="str">
        <x:f>IF(A55&gt;=$B$4,"",MAX(E55-D55,0))</x:f>
      </x:c>
      <x:c r="H55" s="6" t="str">
        <x:f>IF(A55&gt;=$B$4,"",SUM($D$15:D55))</x:f>
      </x:c>
      <x:c r="I55" s="6" t="str">
        <x:f>IF(A55&gt;$B$4,"",SUM($E$15:E55))</x:f>
      </x:c>
      <x:c r="J55" s="1" t="str">
        <x:f>IF(A55&gt;$B$4,"Future",IF(A55=$B$4,"In progress",IF(COUNTIFS('Sessions'!$B$2:$B$21,A55,'Sessions'!$G$2:$G$21,"needs_confirmation")&gt;0,"Uncertain time",IF(E55=0,"No confirmed time","Logged"))))</x:f>
        <x:v>Future</x:v>
      </x:c>
    </x:row>
    <x:row r="56" ht="22" customHeight="1">
      <x:c r="A56" s="7" t="n">
        <x:v>46351</x:v>
      </x:c>
      <x:c r="B56" s="1" t="str">
        <x:v>Wed</x:v>
      </x:c>
      <x:c r="C56" s="7" t="n">
        <x:f>A56-WEEKDAY(A56,2)+1</x:f>
        <x:v>46349</x:v>
      </x:c>
      <x:c r="D56" s="6" t="n">
        <x:f>IF(WEEKDAY(A56,2)&gt;5,$B$7,IF(A56&lt;$B$8,$H$4,$B$6))</x:f>
        <x:v>7</x:v>
      </x:c>
      <x:c r="E56" s="6" t="str">
        <x:f>IF(A56&gt;$B$4,"",SUMIFS('Sessions'!$F$2:$F$21,'Sessions'!$B$2:$B$21,A56,'Sessions'!$G$2:$G$21,"completed")/60)</x:f>
      </x:c>
      <x:c r="F56" s="6" t="str">
        <x:f>IF(A56&gt;=$B$4,"",MAX(D56-E56,0))</x:f>
      </x:c>
      <x:c r="G56" s="6" t="str">
        <x:f>IF(A56&gt;=$B$4,"",MAX(E56-D56,0))</x:f>
      </x:c>
      <x:c r="H56" s="6" t="str">
        <x:f>IF(A56&gt;=$B$4,"",SUM($D$15:D56))</x:f>
      </x:c>
      <x:c r="I56" s="6" t="str">
        <x:f>IF(A56&gt;$B$4,"",SUM($E$15:E56))</x:f>
      </x:c>
      <x:c r="J56" s="1" t="str">
        <x:f>IF(A56&gt;$B$4,"Future",IF(A56=$B$4,"In progress",IF(COUNTIFS('Sessions'!$B$2:$B$21,A56,'Sessions'!$G$2:$G$21,"needs_confirmation")&gt;0,"Uncertain time",IF(E56=0,"No confirmed time","Logged"))))</x:f>
        <x:v>Future</x:v>
      </x:c>
    </x:row>
    <x:row r="57" ht="22" customHeight="1">
      <x:c r="A57" s="7" t="n">
        <x:v>46352</x:v>
      </x:c>
      <x:c r="B57" s="1" t="str">
        <x:v>Thu</x:v>
      </x:c>
      <x:c r="C57" s="7" t="n">
        <x:f>A57-WEEKDAY(A57,2)+1</x:f>
        <x:v>46349</x:v>
      </x:c>
      <x:c r="D57" s="6" t="n">
        <x:f>IF(WEEKDAY(A57,2)&gt;5,$B$7,IF(A57&lt;$B$8,$H$4,$B$6))</x:f>
        <x:v>7</x:v>
      </x:c>
      <x:c r="E57" s="6" t="str">
        <x:f>IF(A57&gt;$B$4,"",SUMIFS('Sessions'!$F$2:$F$21,'Sessions'!$B$2:$B$21,A57,'Sessions'!$G$2:$G$21,"completed")/60)</x:f>
      </x:c>
      <x:c r="F57" s="6" t="str">
        <x:f>IF(A57&gt;=$B$4,"",MAX(D57-E57,0))</x:f>
      </x:c>
      <x:c r="G57" s="6" t="str">
        <x:f>IF(A57&gt;=$B$4,"",MAX(E57-D57,0))</x:f>
      </x:c>
      <x:c r="H57" s="6" t="str">
        <x:f>IF(A57&gt;=$B$4,"",SUM($D$15:D57))</x:f>
      </x:c>
      <x:c r="I57" s="6" t="str">
        <x:f>IF(A57&gt;$B$4,"",SUM($E$15:E57))</x:f>
      </x:c>
      <x:c r="J57" s="1" t="str">
        <x:f>IF(A57&gt;$B$4,"Future",IF(A57=$B$4,"In progress",IF(COUNTIFS('Sessions'!$B$2:$B$21,A57,'Sessions'!$G$2:$G$21,"needs_confirmation")&gt;0,"Uncertain time",IF(E57=0,"No confirmed time","Logged"))))</x:f>
        <x:v>Future</x:v>
      </x:c>
    </x:row>
    <x:row r="58" ht="22" customHeight="1">
      <x:c r="A58" s="7" t="n">
        <x:v>46353</x:v>
      </x:c>
      <x:c r="B58" s="1" t="str">
        <x:v>Fri</x:v>
      </x:c>
      <x:c r="C58" s="7" t="n">
        <x:f>A58-WEEKDAY(A58,2)+1</x:f>
        <x:v>46349</x:v>
      </x:c>
      <x:c r="D58" s="6" t="n">
        <x:f>IF(WEEKDAY(A58,2)&gt;5,$B$7,IF(A58&lt;$B$8,$H$4,$B$6))</x:f>
        <x:v>7</x:v>
      </x:c>
      <x:c r="E58" s="6" t="str">
        <x:f>IF(A58&gt;$B$4,"",SUMIFS('Sessions'!$F$2:$F$21,'Sessions'!$B$2:$B$21,A58,'Sessions'!$G$2:$G$21,"completed")/60)</x:f>
      </x:c>
      <x:c r="F58" s="6" t="str">
        <x:f>IF(A58&gt;=$B$4,"",MAX(D58-E58,0))</x:f>
      </x:c>
      <x:c r="G58" s="6" t="str">
        <x:f>IF(A58&gt;=$B$4,"",MAX(E58-D58,0))</x:f>
      </x:c>
      <x:c r="H58" s="6" t="str">
        <x:f>IF(A58&gt;=$B$4,"",SUM($D$15:D58))</x:f>
      </x:c>
      <x:c r="I58" s="6" t="str">
        <x:f>IF(A58&gt;$B$4,"",SUM($E$15:E58))</x:f>
      </x:c>
      <x:c r="J58" s="1" t="str">
        <x:f>IF(A58&gt;$B$4,"Future",IF(A58=$B$4,"In progress",IF(COUNTIFS('Sessions'!$B$2:$B$21,A58,'Sessions'!$G$2:$G$21,"needs_confirmation")&gt;0,"Uncertain time",IF(E58=0,"No confirmed time","Logged"))))</x:f>
        <x:v>Future</x:v>
      </x:c>
    </x:row>
    <x:row r="59" ht="22" customHeight="1">
      <x:c r="A59" s="7" t="n">
        <x:v>46354</x:v>
      </x:c>
      <x:c r="B59" s="1" t="str">
        <x:v>Sat</x:v>
      </x:c>
      <x:c r="C59" s="7" t="n">
        <x:f>A59-WEEKDAY(A59,2)+1</x:f>
        <x:v>46349</x:v>
      </x:c>
      <x:c r="D59" s="6" t="n">
        <x:f>IF(WEEKDAY(A59,2)&gt;5,$B$7,IF(A59&lt;$B$8,$H$4,$B$6))</x:f>
        <x:v>10</x:v>
      </x:c>
      <x:c r="E59" s="6" t="str">
        <x:f>IF(A59&gt;$B$4,"",SUMIFS('Sessions'!$F$2:$F$21,'Sessions'!$B$2:$B$21,A59,'Sessions'!$G$2:$G$21,"completed")/60)</x:f>
      </x:c>
      <x:c r="F59" s="6" t="str">
        <x:f>IF(A59&gt;=$B$4,"",MAX(D59-E59,0))</x:f>
      </x:c>
      <x:c r="G59" s="6" t="str">
        <x:f>IF(A59&gt;=$B$4,"",MAX(E59-D59,0))</x:f>
      </x:c>
      <x:c r="H59" s="6" t="str">
        <x:f>IF(A59&gt;=$B$4,"",SUM($D$15:D59))</x:f>
      </x:c>
      <x:c r="I59" s="6" t="str">
        <x:f>IF(A59&gt;$B$4,"",SUM($E$15:E59))</x:f>
      </x:c>
      <x:c r="J59" s="1" t="str">
        <x:f>IF(A59&gt;$B$4,"Future",IF(A59=$B$4,"In progress",IF(COUNTIFS('Sessions'!$B$2:$B$21,A59,'Sessions'!$G$2:$G$21,"needs_confirmation")&gt;0,"Uncertain time",IF(E59=0,"No confirmed time","Logged"))))</x:f>
        <x:v>Future</x:v>
      </x:c>
    </x:row>
    <x:row r="60" ht="22" customHeight="1">
      <x:c r="A60" s="7" t="n">
        <x:v>46355</x:v>
      </x:c>
      <x:c r="B60" s="1" t="str">
        <x:v>Sun</x:v>
      </x:c>
      <x:c r="C60" s="7" t="n">
        <x:f>A60-WEEKDAY(A60,2)+1</x:f>
        <x:v>46349</x:v>
      </x:c>
      <x:c r="D60" s="6" t="n">
        <x:f>IF(WEEKDAY(A60,2)&gt;5,$B$7,IF(A60&lt;$B$8,$H$4,$B$6))</x:f>
        <x:v>10</x:v>
      </x:c>
      <x:c r="E60" s="6" t="str">
        <x:f>IF(A60&gt;$B$4,"",SUMIFS('Sessions'!$F$2:$F$21,'Sessions'!$B$2:$B$21,A60,'Sessions'!$G$2:$G$21,"completed")/60)</x:f>
      </x:c>
      <x:c r="F60" s="6" t="str">
        <x:f>IF(A60&gt;=$B$4,"",MAX(D60-E60,0))</x:f>
      </x:c>
      <x:c r="G60" s="6" t="str">
        <x:f>IF(A60&gt;=$B$4,"",MAX(E60-D60,0))</x:f>
      </x:c>
      <x:c r="H60" s="6" t="str">
        <x:f>IF(A60&gt;=$B$4,"",SUM($D$15:D60))</x:f>
      </x:c>
      <x:c r="I60" s="6" t="str">
        <x:f>IF(A60&gt;$B$4,"",SUM($E$15:E60))</x:f>
      </x:c>
      <x:c r="J60" s="1" t="str">
        <x:f>IF(A60&gt;$B$4,"Future",IF(A60=$B$4,"In progress",IF(COUNTIFS('Sessions'!$B$2:$B$21,A60,'Sessions'!$G$2:$G$21,"needs_confirmation")&gt;0,"Uncertain time",IF(E60=0,"No confirmed time","Logged"))))</x:f>
        <x:v>Future</x:v>
      </x:c>
    </x:row>
    <x:row r="61" ht="22" customHeight="1">
      <x:c r="A61" s="7" t="n">
        <x:v>46356</x:v>
      </x:c>
      <x:c r="B61" s="1" t="str">
        <x:v>Mon</x:v>
      </x:c>
      <x:c r="C61" s="7" t="n">
        <x:f>A61-WEEKDAY(A61,2)+1</x:f>
        <x:v>46356</x:v>
      </x:c>
      <x:c r="D61" s="6" t="n">
        <x:f>IF(WEEKDAY(A61,2)&gt;5,$B$7,IF(A61&lt;$B$8,$H$4,$B$6))</x:f>
        <x:v>7</x:v>
      </x:c>
      <x:c r="E61" s="6" t="str">
        <x:f>IF(A61&gt;$B$4,"",SUMIFS('Sessions'!$F$2:$F$21,'Sessions'!$B$2:$B$21,A61,'Sessions'!$G$2:$G$21,"completed")/60)</x:f>
      </x:c>
      <x:c r="F61" s="6" t="str">
        <x:f>IF(A61&gt;=$B$4,"",MAX(D61-E61,0))</x:f>
      </x:c>
      <x:c r="G61" s="6" t="str">
        <x:f>IF(A61&gt;=$B$4,"",MAX(E61-D61,0))</x:f>
      </x:c>
      <x:c r="H61" s="6" t="str">
        <x:f>IF(A61&gt;=$B$4,"",SUM($D$15:D61))</x:f>
      </x:c>
      <x:c r="I61" s="6" t="str">
        <x:f>IF(A61&gt;$B$4,"",SUM($E$15:E61))</x:f>
      </x:c>
      <x:c r="J61" s="1" t="str">
        <x:f>IF(A61&gt;$B$4,"Future",IF(A61=$B$4,"In progress",IF(COUNTIFS('Sessions'!$B$2:$B$21,A61,'Sessions'!$G$2:$G$21,"needs_confirmation")&gt;0,"Uncertain time",IF(E61=0,"No confirmed time","Logged"))))</x:f>
        <x:v>Future</x:v>
      </x:c>
    </x:row>
    <x:row r="62" ht="22" customHeight="1">
      <x:c r="A62" s="7" t="n">
        <x:v>46357</x:v>
      </x:c>
      <x:c r="B62" s="1" t="str">
        <x:v>Tue</x:v>
      </x:c>
      <x:c r="C62" s="7" t="n">
        <x:f>A62-WEEKDAY(A62,2)+1</x:f>
        <x:v>46356</x:v>
      </x:c>
      <x:c r="D62" s="6" t="n">
        <x:f>IF(WEEKDAY(A62,2)&gt;5,$B$7,IF(A62&lt;$B$8,$H$4,$B$6))</x:f>
        <x:v>7</x:v>
      </x:c>
      <x:c r="E62" s="6" t="str">
        <x:f>IF(A62&gt;$B$4,"",SUMIFS('Sessions'!$F$2:$F$21,'Sessions'!$B$2:$B$21,A62,'Sessions'!$G$2:$G$21,"completed")/60)</x:f>
      </x:c>
      <x:c r="F62" s="6" t="str">
        <x:f>IF(A62&gt;=$B$4,"",MAX(D62-E62,0))</x:f>
      </x:c>
      <x:c r="G62" s="6" t="str">
        <x:f>IF(A62&gt;=$B$4,"",MAX(E62-D62,0))</x:f>
      </x:c>
      <x:c r="H62" s="6" t="str">
        <x:f>IF(A62&gt;=$B$4,"",SUM($D$15:D62))</x:f>
      </x:c>
      <x:c r="I62" s="6" t="str">
        <x:f>IF(A62&gt;$B$4,"",SUM($E$15:E62))</x:f>
      </x:c>
      <x:c r="J62" s="1" t="str">
        <x:f>IF(A62&gt;$B$4,"Future",IF(A62=$B$4,"In progress",IF(COUNTIFS('Sessions'!$B$2:$B$21,A62,'Sessions'!$G$2:$G$21,"needs_confirmation")&gt;0,"Uncertain time",IF(E62=0,"No confirmed time","Logged"))))</x:f>
        <x:v>Future</x:v>
      </x:c>
    </x:row>
    <x:row r="63" ht="22" customHeight="1">
      <x:c r="A63" s="7" t="n">
        <x:v>46358</x:v>
      </x:c>
      <x:c r="B63" s="1" t="str">
        <x:v>Wed</x:v>
      </x:c>
      <x:c r="C63" s="7" t="n">
        <x:f>A63-WEEKDAY(A63,2)+1</x:f>
        <x:v>46356</x:v>
      </x:c>
      <x:c r="D63" s="6" t="n">
        <x:f>IF(WEEKDAY(A63,2)&gt;5,$B$7,IF(A63&lt;$B$8,$H$4,$B$6))</x:f>
        <x:v>7</x:v>
      </x:c>
      <x:c r="E63" s="6" t="str">
        <x:f>IF(A63&gt;$B$4,"",SUMIFS('Sessions'!$F$2:$F$21,'Sessions'!$B$2:$B$21,A63,'Sessions'!$G$2:$G$21,"completed")/60)</x:f>
      </x:c>
      <x:c r="F63" s="6" t="str">
        <x:f>IF(A63&gt;=$B$4,"",MAX(D63-E63,0))</x:f>
      </x:c>
      <x:c r="G63" s="6" t="str">
        <x:f>IF(A63&gt;=$B$4,"",MAX(E63-D63,0))</x:f>
      </x:c>
      <x:c r="H63" s="6" t="str">
        <x:f>IF(A63&gt;=$B$4,"",SUM($D$15:D63))</x:f>
      </x:c>
      <x:c r="I63" s="6" t="str">
        <x:f>IF(A63&gt;$B$4,"",SUM($E$15:E63))</x:f>
      </x:c>
      <x:c r="J63" s="1" t="str">
        <x:f>IF(A63&gt;$B$4,"Future",IF(A63=$B$4,"In progress",IF(COUNTIFS('Sessions'!$B$2:$B$21,A63,'Sessions'!$G$2:$G$21,"needs_confirmation")&gt;0,"Uncertain time",IF(E63=0,"No confirmed time","Logged"))))</x:f>
        <x:v>Future</x:v>
      </x:c>
    </x:row>
    <x:row r="64" ht="22" customHeight="1">
      <x:c r="A64" s="7" t="n">
        <x:v>46359</x:v>
      </x:c>
      <x:c r="B64" s="1" t="str">
        <x:v>Thu</x:v>
      </x:c>
      <x:c r="C64" s="7" t="n">
        <x:f>A64-WEEKDAY(A64,2)+1</x:f>
        <x:v>46356</x:v>
      </x:c>
      <x:c r="D64" s="6" t="n">
        <x:f>IF(WEEKDAY(A64,2)&gt;5,$B$7,IF(A64&lt;$B$8,$H$4,$B$6))</x:f>
        <x:v>7</x:v>
      </x:c>
      <x:c r="E64" s="6" t="str">
        <x:f>IF(A64&gt;$B$4,"",SUMIFS('Sessions'!$F$2:$F$21,'Sessions'!$B$2:$B$21,A64,'Sessions'!$G$2:$G$21,"completed")/60)</x:f>
      </x:c>
      <x:c r="F64" s="6" t="str">
        <x:f>IF(A64&gt;=$B$4,"",MAX(D64-E64,0))</x:f>
      </x:c>
      <x:c r="G64" s="6" t="str">
        <x:f>IF(A64&gt;=$B$4,"",MAX(E64-D64,0))</x:f>
      </x:c>
      <x:c r="H64" s="6" t="str">
        <x:f>IF(A64&gt;=$B$4,"",SUM($D$15:D64))</x:f>
      </x:c>
      <x:c r="I64" s="6" t="str">
        <x:f>IF(A64&gt;$B$4,"",SUM($E$15:E64))</x:f>
      </x:c>
      <x:c r="J64" s="1" t="str">
        <x:f>IF(A64&gt;$B$4,"Future",IF(A64=$B$4,"In progress",IF(COUNTIFS('Sessions'!$B$2:$B$21,A64,'Sessions'!$G$2:$G$21,"needs_confirmation")&gt;0,"Uncertain time",IF(E64=0,"No confirmed time","Logged"))))</x:f>
        <x:v>Future</x:v>
      </x:c>
    </x:row>
    <x:row r="65" ht="22" customHeight="1">
      <x:c r="A65" s="7" t="n">
        <x:v>46360</x:v>
      </x:c>
      <x:c r="B65" s="1" t="str">
        <x:v>Fri</x:v>
      </x:c>
      <x:c r="C65" s="7" t="n">
        <x:f>A65-WEEKDAY(A65,2)+1</x:f>
        <x:v>46356</x:v>
      </x:c>
      <x:c r="D65" s="6" t="n">
        <x:f>IF(WEEKDAY(A65,2)&gt;5,$B$7,IF(A65&lt;$B$8,$H$4,$B$6))</x:f>
        <x:v>7</x:v>
      </x:c>
      <x:c r="E65" s="6" t="str">
        <x:f>IF(A65&gt;$B$4,"",SUMIFS('Sessions'!$F$2:$F$21,'Sessions'!$B$2:$B$21,A65,'Sessions'!$G$2:$G$21,"completed")/60)</x:f>
      </x:c>
      <x:c r="F65" s="6" t="str">
        <x:f>IF(A65&gt;=$B$4,"",MAX(D65-E65,0))</x:f>
      </x:c>
      <x:c r="G65" s="6" t="str">
        <x:f>IF(A65&gt;=$B$4,"",MAX(E65-D65,0))</x:f>
      </x:c>
      <x:c r="H65" s="6" t="str">
        <x:f>IF(A65&gt;=$B$4,"",SUM($D$15:D65))</x:f>
      </x:c>
      <x:c r="I65" s="6" t="str">
        <x:f>IF(A65&gt;$B$4,"",SUM($E$15:E65))</x:f>
      </x:c>
      <x:c r="J65" s="1" t="str">
        <x:f>IF(A65&gt;$B$4,"Future",IF(A65=$B$4,"In progress",IF(COUNTIFS('Sessions'!$B$2:$B$21,A65,'Sessions'!$G$2:$G$21,"needs_confirmation")&gt;0,"Uncertain time",IF(E65=0,"No confirmed time","Logged"))))</x:f>
        <x:v>Future</x:v>
      </x:c>
    </x:row>
    <x:row r="66" ht="22" customHeight="1">
      <x:c r="A66" s="7" t="n">
        <x:v>46361</x:v>
      </x:c>
      <x:c r="B66" s="1" t="str">
        <x:v>Sat</x:v>
      </x:c>
      <x:c r="C66" s="7" t="n">
        <x:f>A66-WEEKDAY(A66,2)+1</x:f>
        <x:v>46356</x:v>
      </x:c>
      <x:c r="D66" s="6" t="n">
        <x:f>IF(WEEKDAY(A66,2)&gt;5,$B$7,IF(A66&lt;$B$8,$H$4,$B$6))</x:f>
        <x:v>10</x:v>
      </x:c>
      <x:c r="E66" s="6" t="str">
        <x:f>IF(A66&gt;$B$4,"",SUMIFS('Sessions'!$F$2:$F$21,'Sessions'!$B$2:$B$21,A66,'Sessions'!$G$2:$G$21,"completed")/60)</x:f>
      </x:c>
      <x:c r="F66" s="6" t="str">
        <x:f>IF(A66&gt;=$B$4,"",MAX(D66-E66,0))</x:f>
      </x:c>
      <x:c r="G66" s="6" t="str">
        <x:f>IF(A66&gt;=$B$4,"",MAX(E66-D66,0))</x:f>
      </x:c>
      <x:c r="H66" s="6" t="str">
        <x:f>IF(A66&gt;=$B$4,"",SUM($D$15:D66))</x:f>
      </x:c>
      <x:c r="I66" s="6" t="str">
        <x:f>IF(A66&gt;$B$4,"",SUM($E$15:E66))</x:f>
      </x:c>
      <x:c r="J66" s="1" t="str">
        <x:f>IF(A66&gt;$B$4,"Future",IF(A66=$B$4,"In progress",IF(COUNTIFS('Sessions'!$B$2:$B$21,A66,'Sessions'!$G$2:$G$21,"needs_confirmation")&gt;0,"Uncertain time",IF(E66=0,"No confirmed time","Logged"))))</x:f>
        <x:v>Future</x:v>
      </x:c>
    </x:row>
    <x:row r="67" ht="22" customHeight="1">
      <x:c r="A67" s="7" t="n">
        <x:v>46362</x:v>
      </x:c>
      <x:c r="B67" s="1" t="str">
        <x:v>Sun</x:v>
      </x:c>
      <x:c r="C67" s="7" t="n">
        <x:f>A67-WEEKDAY(A67,2)+1</x:f>
        <x:v>46356</x:v>
      </x:c>
      <x:c r="D67" s="6" t="n">
        <x:f>IF(WEEKDAY(A67,2)&gt;5,$B$7,IF(A67&lt;$B$8,$H$4,$B$6))</x:f>
        <x:v>10</x:v>
      </x:c>
      <x:c r="E67" s="6" t="str">
        <x:f>IF(A67&gt;$B$4,"",SUMIFS('Sessions'!$F$2:$F$21,'Sessions'!$B$2:$B$21,A67,'Sessions'!$G$2:$G$21,"completed")/60)</x:f>
      </x:c>
      <x:c r="F67" s="6" t="str">
        <x:f>IF(A67&gt;=$B$4,"",MAX(D67-E67,0))</x:f>
      </x:c>
      <x:c r="G67" s="6" t="str">
        <x:f>IF(A67&gt;=$B$4,"",MAX(E67-D67,0))</x:f>
      </x:c>
      <x:c r="H67" s="6" t="str">
        <x:f>IF(A67&gt;=$B$4,"",SUM($D$15:D67))</x:f>
      </x:c>
      <x:c r="I67" s="6" t="str">
        <x:f>IF(A67&gt;$B$4,"",SUM($E$15:E67))</x:f>
      </x:c>
      <x:c r="J67" s="1" t="str">
        <x:f>IF(A67&gt;$B$4,"Future",IF(A67=$B$4,"In progress",IF(COUNTIFS('Sessions'!$B$2:$B$21,A67,'Sessions'!$G$2:$G$21,"needs_confirmation")&gt;0,"Uncertain time",IF(E67=0,"No confirmed time","Logged"))))</x:f>
        <x:v>Future</x:v>
      </x:c>
    </x:row>
    <x:row r="68" ht="22" customHeight="1">
      <x:c r="A68" s="7" t="n">
        <x:v>46363</x:v>
      </x:c>
      <x:c r="B68" s="1" t="str">
        <x:v>Mon</x:v>
      </x:c>
      <x:c r="C68" s="7" t="n">
        <x:f>A68-WEEKDAY(A68,2)+1</x:f>
        <x:v>46363</x:v>
      </x:c>
      <x:c r="D68" s="6" t="n">
        <x:f>IF(WEEKDAY(A68,2)&gt;5,$B$7,IF(A68&lt;$B$8,$H$4,$B$6))</x:f>
        <x:v>7</x:v>
      </x:c>
      <x:c r="E68" s="6" t="str">
        <x:f>IF(A68&gt;$B$4,"",SUMIFS('Sessions'!$F$2:$F$21,'Sessions'!$B$2:$B$21,A68,'Sessions'!$G$2:$G$21,"completed")/60)</x:f>
      </x:c>
      <x:c r="F68" s="6" t="str">
        <x:f>IF(A68&gt;=$B$4,"",MAX(D68-E68,0))</x:f>
      </x:c>
      <x:c r="G68" s="6" t="str">
        <x:f>IF(A68&gt;=$B$4,"",MAX(E68-D68,0))</x:f>
      </x:c>
      <x:c r="H68" s="6" t="str">
        <x:f>IF(A68&gt;=$B$4,"",SUM($D$15:D68))</x:f>
      </x:c>
      <x:c r="I68" s="6" t="str">
        <x:f>IF(A68&gt;$B$4,"",SUM($E$15:E68))</x:f>
      </x:c>
      <x:c r="J68" s="1" t="str">
        <x:f>IF(A68&gt;$B$4,"Future",IF(A68=$B$4,"In progress",IF(COUNTIFS('Sessions'!$B$2:$B$21,A68,'Sessions'!$G$2:$G$21,"needs_confirmation")&gt;0,"Uncertain time",IF(E68=0,"No confirmed time","Logged"))))</x:f>
        <x:v>Future</x:v>
      </x:c>
    </x:row>
    <x:row r="69" ht="22" customHeight="1">
      <x:c r="A69" s="7" t="n">
        <x:v>46364</x:v>
      </x:c>
      <x:c r="B69" s="1" t="str">
        <x:v>Tue</x:v>
      </x:c>
      <x:c r="C69" s="7" t="n">
        <x:f>A69-WEEKDAY(A69,2)+1</x:f>
        <x:v>46363</x:v>
      </x:c>
      <x:c r="D69" s="6" t="n">
        <x:f>IF(WEEKDAY(A69,2)&gt;5,$B$7,IF(A69&lt;$B$8,$H$4,$B$6))</x:f>
        <x:v>7</x:v>
      </x:c>
      <x:c r="E69" s="6" t="str">
        <x:f>IF(A69&gt;$B$4,"",SUMIFS('Sessions'!$F$2:$F$21,'Sessions'!$B$2:$B$21,A69,'Sessions'!$G$2:$G$21,"completed")/60)</x:f>
      </x:c>
      <x:c r="F69" s="6" t="str">
        <x:f>IF(A69&gt;=$B$4,"",MAX(D69-E69,0))</x:f>
      </x:c>
      <x:c r="G69" s="6" t="str">
        <x:f>IF(A69&gt;=$B$4,"",MAX(E69-D69,0))</x:f>
      </x:c>
      <x:c r="H69" s="6" t="str">
        <x:f>IF(A69&gt;=$B$4,"",SUM($D$15:D69))</x:f>
      </x:c>
      <x:c r="I69" s="6" t="str">
        <x:f>IF(A69&gt;$B$4,"",SUM($E$15:E69))</x:f>
      </x:c>
      <x:c r="J69" s="1" t="str">
        <x:f>IF(A69&gt;$B$4,"Future",IF(A69=$B$4,"In progress",IF(COUNTIFS('Sessions'!$B$2:$B$21,A69,'Sessions'!$G$2:$G$21,"needs_confirmation")&gt;0,"Uncertain time",IF(E69=0,"No confirmed time","Logged"))))</x:f>
        <x:v>Future</x:v>
      </x:c>
    </x:row>
    <x:row r="70" ht="22" customHeight="1">
      <x:c r="A70" s="7" t="n">
        <x:v>46365</x:v>
      </x:c>
      <x:c r="B70" s="1" t="str">
        <x:v>Wed</x:v>
      </x:c>
      <x:c r="C70" s="7" t="n">
        <x:f>A70-WEEKDAY(A70,2)+1</x:f>
        <x:v>46363</x:v>
      </x:c>
      <x:c r="D70" s="6" t="n">
        <x:f>IF(WEEKDAY(A70,2)&gt;5,$B$7,IF(A70&lt;$B$8,$H$4,$B$6))</x:f>
        <x:v>7</x:v>
      </x:c>
      <x:c r="E70" s="6" t="str">
        <x:f>IF(A70&gt;$B$4,"",SUMIFS('Sessions'!$F$2:$F$21,'Sessions'!$B$2:$B$21,A70,'Sessions'!$G$2:$G$21,"completed")/60)</x:f>
      </x:c>
      <x:c r="F70" s="6" t="str">
        <x:f>IF(A70&gt;=$B$4,"",MAX(D70-E70,0))</x:f>
      </x:c>
      <x:c r="G70" s="6" t="str">
        <x:f>IF(A70&gt;=$B$4,"",MAX(E70-D70,0))</x:f>
      </x:c>
      <x:c r="H70" s="6" t="str">
        <x:f>IF(A70&gt;=$B$4,"",SUM($D$15:D70))</x:f>
      </x:c>
      <x:c r="I70" s="6" t="str">
        <x:f>IF(A70&gt;$B$4,"",SUM($E$15:E70))</x:f>
      </x:c>
      <x:c r="J70" s="1" t="str">
        <x:f>IF(A70&gt;$B$4,"Future",IF(A70=$B$4,"In progress",IF(COUNTIFS('Sessions'!$B$2:$B$21,A70,'Sessions'!$G$2:$G$21,"needs_confirmation")&gt;0,"Uncertain time",IF(E70=0,"No confirmed time","Logged"))))</x:f>
        <x:v>Future</x:v>
      </x:c>
    </x:row>
    <x:row r="71" ht="22" customHeight="1">
      <x:c r="A71" s="7" t="n">
        <x:v>46366</x:v>
      </x:c>
      <x:c r="B71" s="1" t="str">
        <x:v>Thu</x:v>
      </x:c>
      <x:c r="C71" s="7" t="n">
        <x:f>A71-WEEKDAY(A71,2)+1</x:f>
        <x:v>46363</x:v>
      </x:c>
      <x:c r="D71" s="6" t="n">
        <x:f>IF(WEEKDAY(A71,2)&gt;5,$B$7,IF(A71&lt;$B$8,$H$4,$B$6))</x:f>
        <x:v>7</x:v>
      </x:c>
      <x:c r="E71" s="6" t="str">
        <x:f>IF(A71&gt;$B$4,"",SUMIFS('Sessions'!$F$2:$F$21,'Sessions'!$B$2:$B$21,A71,'Sessions'!$G$2:$G$21,"completed")/60)</x:f>
      </x:c>
      <x:c r="F71" s="6" t="str">
        <x:f>IF(A71&gt;=$B$4,"",MAX(D71-E71,0))</x:f>
      </x:c>
      <x:c r="G71" s="6" t="str">
        <x:f>IF(A71&gt;=$B$4,"",MAX(E71-D71,0))</x:f>
      </x:c>
      <x:c r="H71" s="6" t="str">
        <x:f>IF(A71&gt;=$B$4,"",SUM($D$15:D71))</x:f>
      </x:c>
      <x:c r="I71" s="6" t="str">
        <x:f>IF(A71&gt;$B$4,"",SUM($E$15:E71))</x:f>
      </x:c>
      <x:c r="J71" s="1" t="str">
        <x:f>IF(A71&gt;$B$4,"Future",IF(A71=$B$4,"In progress",IF(COUNTIFS('Sessions'!$B$2:$B$21,A71,'Sessions'!$G$2:$G$21,"needs_confirmation")&gt;0,"Uncertain time",IF(E71=0,"No confirmed time","Logged"))))</x:f>
        <x:v>Future</x:v>
      </x:c>
    </x:row>
    <x:row r="72" ht="22" customHeight="1">
      <x:c r="A72" s="7" t="n">
        <x:v>46367</x:v>
      </x:c>
      <x:c r="B72" s="1" t="str">
        <x:v>Fri</x:v>
      </x:c>
      <x:c r="C72" s="7" t="n">
        <x:f>A72-WEEKDAY(A72,2)+1</x:f>
        <x:v>46363</x:v>
      </x:c>
      <x:c r="D72" s="6" t="n">
        <x:f>IF(WEEKDAY(A72,2)&gt;5,$B$7,IF(A72&lt;$B$8,$H$4,$B$6))</x:f>
        <x:v>7</x:v>
      </x:c>
      <x:c r="E72" s="6" t="str">
        <x:f>IF(A72&gt;$B$4,"",SUMIFS('Sessions'!$F$2:$F$21,'Sessions'!$B$2:$B$21,A72,'Sessions'!$G$2:$G$21,"completed")/60)</x:f>
      </x:c>
      <x:c r="F72" s="6" t="str">
        <x:f>IF(A72&gt;=$B$4,"",MAX(D72-E72,0))</x:f>
      </x:c>
      <x:c r="G72" s="6" t="str">
        <x:f>IF(A72&gt;=$B$4,"",MAX(E72-D72,0))</x:f>
      </x:c>
      <x:c r="H72" s="6" t="str">
        <x:f>IF(A72&gt;=$B$4,"",SUM($D$15:D72))</x:f>
      </x:c>
      <x:c r="I72" s="6" t="str">
        <x:f>IF(A72&gt;$B$4,"",SUM($E$15:E72))</x:f>
      </x:c>
      <x:c r="J72" s="1" t="str">
        <x:f>IF(A72&gt;$B$4,"Future",IF(A72=$B$4,"In progress",IF(COUNTIFS('Sessions'!$B$2:$B$21,A72,'Sessions'!$G$2:$G$21,"needs_confirmation")&gt;0,"Uncertain time",IF(E72=0,"No confirmed time","Logged"))))</x:f>
        <x:v>Future</x:v>
      </x:c>
    </x:row>
    <x:row r="73" ht="22" customHeight="1">
      <x:c r="A73" s="7" t="n">
        <x:v>46368</x:v>
      </x:c>
      <x:c r="B73" s="1" t="str">
        <x:v>Sat</x:v>
      </x:c>
      <x:c r="C73" s="7" t="n">
        <x:f>A73-WEEKDAY(A73,2)+1</x:f>
        <x:v>46363</x:v>
      </x:c>
      <x:c r="D73" s="6" t="n">
        <x:f>IF(WEEKDAY(A73,2)&gt;5,$B$7,IF(A73&lt;$B$8,$H$4,$B$6))</x:f>
        <x:v>10</x:v>
      </x:c>
      <x:c r="E73" s="6" t="str">
        <x:f>IF(A73&gt;$B$4,"",SUMIFS('Sessions'!$F$2:$F$21,'Sessions'!$B$2:$B$21,A73,'Sessions'!$G$2:$G$21,"completed")/60)</x:f>
      </x:c>
      <x:c r="F73" s="6" t="str">
        <x:f>IF(A73&gt;=$B$4,"",MAX(D73-E73,0))</x:f>
      </x:c>
      <x:c r="G73" s="6" t="str">
        <x:f>IF(A73&gt;=$B$4,"",MAX(E73-D73,0))</x:f>
      </x:c>
      <x:c r="H73" s="6" t="str">
        <x:f>IF(A73&gt;=$B$4,"",SUM($D$15:D73))</x:f>
      </x:c>
      <x:c r="I73" s="6" t="str">
        <x:f>IF(A73&gt;$B$4,"",SUM($E$15:E73))</x:f>
      </x:c>
      <x:c r="J73" s="1" t="str">
        <x:f>IF(A73&gt;$B$4,"Future",IF(A73=$B$4,"In progress",IF(COUNTIFS('Sessions'!$B$2:$B$21,A73,'Sessions'!$G$2:$G$21,"needs_confirmation")&gt;0,"Uncertain time",IF(E73=0,"No confirmed time","Logged"))))</x:f>
        <x:v>Future</x:v>
      </x:c>
    </x:row>
    <x:row r="74" ht="22" customHeight="1">
      <x:c r="A74" s="7" t="n">
        <x:v>46369</x:v>
      </x:c>
      <x:c r="B74" s="1" t="str">
        <x:v>Sun</x:v>
      </x:c>
      <x:c r="C74" s="7" t="n">
        <x:f>A74-WEEKDAY(A74,2)+1</x:f>
        <x:v>46363</x:v>
      </x:c>
      <x:c r="D74" s="6" t="n">
        <x:f>IF(WEEKDAY(A74,2)&gt;5,$B$7,IF(A74&lt;$B$8,$H$4,$B$6))</x:f>
        <x:v>10</x:v>
      </x:c>
      <x:c r="E74" s="6" t="str">
        <x:f>IF(A74&gt;$B$4,"",SUMIFS('Sessions'!$F$2:$F$21,'Sessions'!$B$2:$B$21,A74,'Sessions'!$G$2:$G$21,"completed")/60)</x:f>
      </x:c>
      <x:c r="F74" s="6" t="str">
        <x:f>IF(A74&gt;=$B$4,"",MAX(D74-E74,0))</x:f>
      </x:c>
      <x:c r="G74" s="6" t="str">
        <x:f>IF(A74&gt;=$B$4,"",MAX(E74-D74,0))</x:f>
      </x:c>
      <x:c r="H74" s="6" t="str">
        <x:f>IF(A74&gt;=$B$4,"",SUM($D$15:D74))</x:f>
      </x:c>
      <x:c r="I74" s="6" t="str">
        <x:f>IF(A74&gt;$B$4,"",SUM($E$15:E74))</x:f>
      </x:c>
      <x:c r="J74" s="1" t="str">
        <x:f>IF(A74&gt;$B$4,"Future",IF(A74=$B$4,"In progress",IF(COUNTIFS('Sessions'!$B$2:$B$21,A74,'Sessions'!$G$2:$G$21,"needs_confirmation")&gt;0,"Uncertain time",IF(E74=0,"No confirmed time","Logged"))))</x:f>
        <x:v>Future</x:v>
      </x:c>
    </x:row>
    <x:row r="75" ht="22" customHeight="1">
      <x:c r="A75" s="7" t="n">
        <x:v>46370</x:v>
      </x:c>
      <x:c r="B75" s="1" t="str">
        <x:v>Mon</x:v>
      </x:c>
      <x:c r="C75" s="7" t="n">
        <x:f>A75-WEEKDAY(A75,2)+1</x:f>
        <x:v>46370</x:v>
      </x:c>
      <x:c r="D75" s="6" t="n">
        <x:f>IF(WEEKDAY(A75,2)&gt;5,$B$7,IF(A75&lt;$B$8,$H$4,$B$6))</x:f>
        <x:v>7</x:v>
      </x:c>
      <x:c r="E75" s="6" t="str">
        <x:f>IF(A75&gt;$B$4,"",SUMIFS('Sessions'!$F$2:$F$21,'Sessions'!$B$2:$B$21,A75,'Sessions'!$G$2:$G$21,"completed")/60)</x:f>
      </x:c>
      <x:c r="F75" s="6" t="str">
        <x:f>IF(A75&gt;=$B$4,"",MAX(D75-E75,0))</x:f>
      </x:c>
      <x:c r="G75" s="6" t="str">
        <x:f>IF(A75&gt;=$B$4,"",MAX(E75-D75,0))</x:f>
      </x:c>
      <x:c r="H75" s="6" t="str">
        <x:f>IF(A75&gt;=$B$4,"",SUM($D$15:D75))</x:f>
      </x:c>
      <x:c r="I75" s="6" t="str">
        <x:f>IF(A75&gt;$B$4,"",SUM($E$15:E75))</x:f>
      </x:c>
      <x:c r="J75" s="1" t="str">
        <x:f>IF(A75&gt;$B$4,"Future",IF(A75=$B$4,"In progress",IF(COUNTIFS('Sessions'!$B$2:$B$21,A75,'Sessions'!$G$2:$G$21,"needs_confirmation")&gt;0,"Uncertain time",IF(E75=0,"No confirmed time","Logged"))))</x:f>
        <x:v>Future</x:v>
      </x:c>
    </x:row>
    <x:row r="76" ht="22" customHeight="1">
      <x:c r="A76" s="7" t="n">
        <x:v>46371</x:v>
      </x:c>
      <x:c r="B76" s="1" t="str">
        <x:v>Tue</x:v>
      </x:c>
      <x:c r="C76" s="7" t="n">
        <x:f>A76-WEEKDAY(A76,2)+1</x:f>
        <x:v>46370</x:v>
      </x:c>
      <x:c r="D76" s="6" t="n">
        <x:f>IF(WEEKDAY(A76,2)&gt;5,$B$7,IF(A76&lt;$B$8,$H$4,$B$6))</x:f>
        <x:v>7</x:v>
      </x:c>
      <x:c r="E76" s="6" t="str">
        <x:f>IF(A76&gt;$B$4,"",SUMIFS('Sessions'!$F$2:$F$21,'Sessions'!$B$2:$B$21,A76,'Sessions'!$G$2:$G$21,"completed")/60)</x:f>
      </x:c>
      <x:c r="F76" s="6" t="str">
        <x:f>IF(A76&gt;=$B$4,"",MAX(D76-E76,0))</x:f>
      </x:c>
      <x:c r="G76" s="6" t="str">
        <x:f>IF(A76&gt;=$B$4,"",MAX(E76-D76,0))</x:f>
      </x:c>
      <x:c r="H76" s="6" t="str">
        <x:f>IF(A76&gt;=$B$4,"",SUM($D$15:D76))</x:f>
      </x:c>
      <x:c r="I76" s="6" t="str">
        <x:f>IF(A76&gt;$B$4,"",SUM($E$15:E76))</x:f>
      </x:c>
      <x:c r="J76" s="1" t="str">
        <x:f>IF(A76&gt;$B$4,"Future",IF(A76=$B$4,"In progress",IF(COUNTIFS('Sessions'!$B$2:$B$21,A76,'Sessions'!$G$2:$G$21,"needs_confirmation")&gt;0,"Uncertain time",IF(E76=0,"No confirmed time","Logged"))))</x:f>
        <x:v>Future</x:v>
      </x:c>
    </x:row>
    <x:row r="77" ht="22" customHeight="1">
      <x:c r="A77" s="7" t="n">
        <x:v>46372</x:v>
      </x:c>
      <x:c r="B77" s="1" t="str">
        <x:v>Wed</x:v>
      </x:c>
      <x:c r="C77" s="7" t="n">
        <x:f>A77-WEEKDAY(A77,2)+1</x:f>
        <x:v>46370</x:v>
      </x:c>
      <x:c r="D77" s="6" t="n">
        <x:f>IF(WEEKDAY(A77,2)&gt;5,$B$7,IF(A77&lt;$B$8,$H$4,$B$6))</x:f>
        <x:v>7</x:v>
      </x:c>
      <x:c r="E77" s="6" t="str">
        <x:f>IF(A77&gt;$B$4,"",SUMIFS('Sessions'!$F$2:$F$21,'Sessions'!$B$2:$B$21,A77,'Sessions'!$G$2:$G$21,"completed")/60)</x:f>
      </x:c>
      <x:c r="F77" s="6" t="str">
        <x:f>IF(A77&gt;=$B$4,"",MAX(D77-E77,0))</x:f>
      </x:c>
      <x:c r="G77" s="6" t="str">
        <x:f>IF(A77&gt;=$B$4,"",MAX(E77-D77,0))</x:f>
      </x:c>
      <x:c r="H77" s="6" t="str">
        <x:f>IF(A77&gt;=$B$4,"",SUM($D$15:D77))</x:f>
      </x:c>
      <x:c r="I77" s="6" t="str">
        <x:f>IF(A77&gt;$B$4,"",SUM($E$15:E77))</x:f>
      </x:c>
      <x:c r="J77" s="1" t="str">
        <x:f>IF(A77&gt;$B$4,"Future",IF(A77=$B$4,"In progress",IF(COUNTIFS('Sessions'!$B$2:$B$21,A77,'Sessions'!$G$2:$G$21,"needs_confirmation")&gt;0,"Uncertain time",IF(E77=0,"No confirmed time","Logged"))))</x:f>
        <x:v>Future</x:v>
      </x:c>
    </x:row>
    <x:row r="78" ht="22" customHeight="1">
      <x:c r="A78" s="7" t="n">
        <x:v>46373</x:v>
      </x:c>
      <x:c r="B78" s="1" t="str">
        <x:v>Thu</x:v>
      </x:c>
      <x:c r="C78" s="7" t="n">
        <x:f>A78-WEEKDAY(A78,2)+1</x:f>
        <x:v>46370</x:v>
      </x:c>
      <x:c r="D78" s="6" t="n">
        <x:f>IF(WEEKDAY(A78,2)&gt;5,$B$7,IF(A78&lt;$B$8,$H$4,$B$6))</x:f>
        <x:v>7</x:v>
      </x:c>
      <x:c r="E78" s="6" t="str">
        <x:f>IF(A78&gt;$B$4,"",SUMIFS('Sessions'!$F$2:$F$21,'Sessions'!$B$2:$B$21,A78,'Sessions'!$G$2:$G$21,"completed")/60)</x:f>
      </x:c>
      <x:c r="F78" s="6" t="str">
        <x:f>IF(A78&gt;=$B$4,"",MAX(D78-E78,0))</x:f>
      </x:c>
      <x:c r="G78" s="6" t="str">
        <x:f>IF(A78&gt;=$B$4,"",MAX(E78-D78,0))</x:f>
      </x:c>
      <x:c r="H78" s="6" t="str">
        <x:f>IF(A78&gt;=$B$4,"",SUM($D$15:D78))</x:f>
      </x:c>
      <x:c r="I78" s="6" t="str">
        <x:f>IF(A78&gt;$B$4,"",SUM($E$15:E78))</x:f>
      </x:c>
      <x:c r="J78" s="1" t="str">
        <x:f>IF(A78&gt;$B$4,"Future",IF(A78=$B$4,"In progress",IF(COUNTIFS('Sessions'!$B$2:$B$21,A78,'Sessions'!$G$2:$G$21,"needs_confirmation")&gt;0,"Uncertain time",IF(E78=0,"No confirmed time","Logged"))))</x:f>
        <x:v>Future</x:v>
      </x:c>
    </x:row>
    <x:row r="79" ht="22" customHeight="1">
      <x:c r="A79" s="7" t="n">
        <x:v>46374</x:v>
      </x:c>
      <x:c r="B79" s="1" t="str">
        <x:v>Fri</x:v>
      </x:c>
      <x:c r="C79" s="7" t="n">
        <x:f>A79-WEEKDAY(A79,2)+1</x:f>
        <x:v>46370</x:v>
      </x:c>
      <x:c r="D79" s="6" t="n">
        <x:f>IF(WEEKDAY(A79,2)&gt;5,$B$7,IF(A79&lt;$B$8,$H$4,$B$6))</x:f>
        <x:v>7</x:v>
      </x:c>
      <x:c r="E79" s="6" t="str">
        <x:f>IF(A79&gt;$B$4,"",SUMIFS('Sessions'!$F$2:$F$21,'Sessions'!$B$2:$B$21,A79,'Sessions'!$G$2:$G$21,"completed")/60)</x:f>
      </x:c>
      <x:c r="F79" s="6" t="str">
        <x:f>IF(A79&gt;=$B$4,"",MAX(D79-E79,0))</x:f>
      </x:c>
      <x:c r="G79" s="6" t="str">
        <x:f>IF(A79&gt;=$B$4,"",MAX(E79-D79,0))</x:f>
      </x:c>
      <x:c r="H79" s="6" t="str">
        <x:f>IF(A79&gt;=$B$4,"",SUM($D$15:D79))</x:f>
      </x:c>
      <x:c r="I79" s="6" t="str">
        <x:f>IF(A79&gt;$B$4,"",SUM($E$15:E79))</x:f>
      </x:c>
      <x:c r="J79" s="1" t="str">
        <x:f>IF(A79&gt;$B$4,"Future",IF(A79=$B$4,"In progress",IF(COUNTIFS('Sessions'!$B$2:$B$21,A79,'Sessions'!$G$2:$G$21,"needs_confirmation")&gt;0,"Uncertain time",IF(E79=0,"No confirmed time","Logged"))))</x:f>
        <x:v>Future</x:v>
      </x:c>
    </x:row>
    <x:row r="80" ht="22" customHeight="1">
      <x:c r="A80" s="7" t="n">
        <x:v>46375</x:v>
      </x:c>
      <x:c r="B80" s="1" t="str">
        <x:v>Sat</x:v>
      </x:c>
      <x:c r="C80" s="7" t="n">
        <x:f>A80-WEEKDAY(A80,2)+1</x:f>
        <x:v>46370</x:v>
      </x:c>
      <x:c r="D80" s="6" t="n">
        <x:f>IF(WEEKDAY(A80,2)&gt;5,$B$7,IF(A80&lt;$B$8,$H$4,$B$6))</x:f>
        <x:v>10</x:v>
      </x:c>
      <x:c r="E80" s="6" t="str">
        <x:f>IF(A80&gt;$B$4,"",SUMIFS('Sessions'!$F$2:$F$21,'Sessions'!$B$2:$B$21,A80,'Sessions'!$G$2:$G$21,"completed")/60)</x:f>
      </x:c>
      <x:c r="F80" s="6" t="str">
        <x:f>IF(A80&gt;=$B$4,"",MAX(D80-E80,0))</x:f>
      </x:c>
      <x:c r="G80" s="6" t="str">
        <x:f>IF(A80&gt;=$B$4,"",MAX(E80-D80,0))</x:f>
      </x:c>
      <x:c r="H80" s="6" t="str">
        <x:f>IF(A80&gt;=$B$4,"",SUM($D$15:D80))</x:f>
      </x:c>
      <x:c r="I80" s="6" t="str">
        <x:f>IF(A80&gt;$B$4,"",SUM($E$15:E80))</x:f>
      </x:c>
      <x:c r="J80" s="1" t="str">
        <x:f>IF(A80&gt;$B$4,"Future",IF(A80=$B$4,"In progress",IF(COUNTIFS('Sessions'!$B$2:$B$21,A80,'Sessions'!$G$2:$G$21,"needs_confirmation")&gt;0,"Uncertain time",IF(E80=0,"No confirmed time","Logged"))))</x:f>
        <x:v>Future</x:v>
      </x:c>
    </x:row>
    <x:row r="81" ht="22" customHeight="1">
      <x:c r="A81" s="7" t="n">
        <x:v>46376</x:v>
      </x:c>
      <x:c r="B81" s="1" t="str">
        <x:v>Sun</x:v>
      </x:c>
      <x:c r="C81" s="7" t="n">
        <x:f>A81-WEEKDAY(A81,2)+1</x:f>
        <x:v>46370</x:v>
      </x:c>
      <x:c r="D81" s="6" t="n">
        <x:f>IF(WEEKDAY(A81,2)&gt;5,$B$7,IF(A81&lt;$B$8,$H$4,$B$6))</x:f>
        <x:v>10</x:v>
      </x:c>
      <x:c r="E81" s="6" t="str">
        <x:f>IF(A81&gt;$B$4,"",SUMIFS('Sessions'!$F$2:$F$21,'Sessions'!$B$2:$B$21,A81,'Sessions'!$G$2:$G$21,"completed")/60)</x:f>
      </x:c>
      <x:c r="F81" s="6" t="str">
        <x:f>IF(A81&gt;=$B$4,"",MAX(D81-E81,0))</x:f>
      </x:c>
      <x:c r="G81" s="6" t="str">
        <x:f>IF(A81&gt;=$B$4,"",MAX(E81-D81,0))</x:f>
      </x:c>
      <x:c r="H81" s="6" t="str">
        <x:f>IF(A81&gt;=$B$4,"",SUM($D$15:D81))</x:f>
      </x:c>
      <x:c r="I81" s="6" t="str">
        <x:f>IF(A81&gt;$B$4,"",SUM($E$15:E81))</x:f>
      </x:c>
      <x:c r="J81" s="1" t="str">
        <x:f>IF(A81&gt;$B$4,"Future",IF(A81=$B$4,"In progress",IF(COUNTIFS('Sessions'!$B$2:$B$21,A81,'Sessions'!$G$2:$G$21,"needs_confirmation")&gt;0,"Uncertain time",IF(E81=0,"No confirmed time","Logged"))))</x:f>
        <x:v>Future</x:v>
      </x:c>
    </x:row>
    <x:row r="82" ht="22" customHeight="1">
      <x:c r="A82" s="7" t="n">
        <x:v>46377</x:v>
      </x:c>
      <x:c r="B82" s="1" t="str">
        <x:v>Mon</x:v>
      </x:c>
      <x:c r="C82" s="7" t="n">
        <x:f>A82-WEEKDAY(A82,2)+1</x:f>
        <x:v>46377</x:v>
      </x:c>
      <x:c r="D82" s="6" t="n">
        <x:f>IF(WEEKDAY(A82,2)&gt;5,$B$7,IF(A82&lt;$B$8,$H$4,$B$6))</x:f>
        <x:v>7</x:v>
      </x:c>
      <x:c r="E82" s="6" t="str">
        <x:f>IF(A82&gt;$B$4,"",SUMIFS('Sessions'!$F$2:$F$21,'Sessions'!$B$2:$B$21,A82,'Sessions'!$G$2:$G$21,"completed")/60)</x:f>
      </x:c>
      <x:c r="F82" s="6" t="str">
        <x:f>IF(A82&gt;=$B$4,"",MAX(D82-E82,0))</x:f>
      </x:c>
      <x:c r="G82" s="6" t="str">
        <x:f>IF(A82&gt;=$B$4,"",MAX(E82-D82,0))</x:f>
      </x:c>
      <x:c r="H82" s="6" t="str">
        <x:f>IF(A82&gt;=$B$4,"",SUM($D$15:D82))</x:f>
      </x:c>
      <x:c r="I82" s="6" t="str">
        <x:f>IF(A82&gt;$B$4,"",SUM($E$15:E82))</x:f>
      </x:c>
      <x:c r="J82" s="1" t="str">
        <x:f>IF(A82&gt;$B$4,"Future",IF(A82=$B$4,"In progress",IF(COUNTIFS('Sessions'!$B$2:$B$21,A82,'Sessions'!$G$2:$G$21,"needs_confirmation")&gt;0,"Uncertain time",IF(E82=0,"No confirmed time","Logged"))))</x:f>
        <x:v>Future</x:v>
      </x:c>
    </x:row>
    <x:row r="83" ht="22" customHeight="1">
      <x:c r="A83" s="7" t="n">
        <x:v>46378</x:v>
      </x:c>
      <x:c r="B83" s="1" t="str">
        <x:v>Tue</x:v>
      </x:c>
      <x:c r="C83" s="7" t="n">
        <x:f>A83-WEEKDAY(A83,2)+1</x:f>
        <x:v>46377</x:v>
      </x:c>
      <x:c r="D83" s="6" t="n">
        <x:f>IF(WEEKDAY(A83,2)&gt;5,$B$7,IF(A83&lt;$B$8,$H$4,$B$6))</x:f>
        <x:v>7</x:v>
      </x:c>
      <x:c r="E83" s="6" t="str">
        <x:f>IF(A83&gt;$B$4,"",SUMIFS('Sessions'!$F$2:$F$21,'Sessions'!$B$2:$B$21,A83,'Sessions'!$G$2:$G$21,"completed")/60)</x:f>
      </x:c>
      <x:c r="F83" s="6" t="str">
        <x:f>IF(A83&gt;=$B$4,"",MAX(D83-E83,0))</x:f>
      </x:c>
      <x:c r="G83" s="6" t="str">
        <x:f>IF(A83&gt;=$B$4,"",MAX(E83-D83,0))</x:f>
      </x:c>
      <x:c r="H83" s="6" t="str">
        <x:f>IF(A83&gt;=$B$4,"",SUM($D$15:D83))</x:f>
      </x:c>
      <x:c r="I83" s="6" t="str">
        <x:f>IF(A83&gt;$B$4,"",SUM($E$15:E83))</x:f>
      </x:c>
      <x:c r="J83" s="1" t="str">
        <x:f>IF(A83&gt;$B$4,"Future",IF(A83=$B$4,"In progress",IF(COUNTIFS('Sessions'!$B$2:$B$21,A83,'Sessions'!$G$2:$G$21,"needs_confirmation")&gt;0,"Uncertain time",IF(E83=0,"No confirmed time","Logged"))))</x:f>
        <x:v>Future</x:v>
      </x:c>
    </x:row>
    <x:row r="84" ht="22" customHeight="1">
      <x:c r="A84" s="7" t="n">
        <x:v>46379</x:v>
      </x:c>
      <x:c r="B84" s="1" t="str">
        <x:v>Wed</x:v>
      </x:c>
      <x:c r="C84" s="7" t="n">
        <x:f>A84-WEEKDAY(A84,2)+1</x:f>
        <x:v>46377</x:v>
      </x:c>
      <x:c r="D84" s="6" t="n">
        <x:f>IF(WEEKDAY(A84,2)&gt;5,$B$7,IF(A84&lt;$B$8,$H$4,$B$6))</x:f>
        <x:v>7</x:v>
      </x:c>
      <x:c r="E84" s="6" t="str">
        <x:f>IF(A84&gt;$B$4,"",SUMIFS('Sessions'!$F$2:$F$21,'Sessions'!$B$2:$B$21,A84,'Sessions'!$G$2:$G$21,"completed")/60)</x:f>
      </x:c>
      <x:c r="F84" s="6" t="str">
        <x:f>IF(A84&gt;=$B$4,"",MAX(D84-E84,0))</x:f>
      </x:c>
      <x:c r="G84" s="6" t="str">
        <x:f>IF(A84&gt;=$B$4,"",MAX(E84-D84,0))</x:f>
      </x:c>
      <x:c r="H84" s="6" t="str">
        <x:f>IF(A84&gt;=$B$4,"",SUM($D$15:D84))</x:f>
      </x:c>
      <x:c r="I84" s="6" t="str">
        <x:f>IF(A84&gt;$B$4,"",SUM($E$15:E84))</x:f>
      </x:c>
      <x:c r="J84" s="1" t="str">
        <x:f>IF(A84&gt;$B$4,"Future",IF(A84=$B$4,"In progress",IF(COUNTIFS('Sessions'!$B$2:$B$21,A84,'Sessions'!$G$2:$G$21,"needs_confirmation")&gt;0,"Uncertain time",IF(E84=0,"No confirmed time","Logged"))))</x:f>
        <x:v>Future</x:v>
      </x:c>
    </x:row>
    <x:row r="85" ht="22" customHeight="1">
      <x:c r="A85" s="7" t="n">
        <x:v>46380</x:v>
      </x:c>
      <x:c r="B85" s="1" t="str">
        <x:v>Thu</x:v>
      </x:c>
      <x:c r="C85" s="7" t="n">
        <x:f>A85-WEEKDAY(A85,2)+1</x:f>
        <x:v>46377</x:v>
      </x:c>
      <x:c r="D85" s="6" t="n">
        <x:f>IF(WEEKDAY(A85,2)&gt;5,$B$7,IF(A85&lt;$B$8,$H$4,$B$6))</x:f>
        <x:v>7</x:v>
      </x:c>
      <x:c r="E85" s="6" t="str">
        <x:f>IF(A85&gt;$B$4,"",SUMIFS('Sessions'!$F$2:$F$21,'Sessions'!$B$2:$B$21,A85,'Sessions'!$G$2:$G$21,"completed")/60)</x:f>
      </x:c>
      <x:c r="F85" s="6" t="str">
        <x:f>IF(A85&gt;=$B$4,"",MAX(D85-E85,0))</x:f>
      </x:c>
      <x:c r="G85" s="6" t="str">
        <x:f>IF(A85&gt;=$B$4,"",MAX(E85-D85,0))</x:f>
      </x:c>
      <x:c r="H85" s="6" t="str">
        <x:f>IF(A85&gt;=$B$4,"",SUM($D$15:D85))</x:f>
      </x:c>
      <x:c r="I85" s="6" t="str">
        <x:f>IF(A85&gt;$B$4,"",SUM($E$15:E85))</x:f>
      </x:c>
      <x:c r="J85" s="1" t="str">
        <x:f>IF(A85&gt;$B$4,"Future",IF(A85=$B$4,"In progress",IF(COUNTIFS('Sessions'!$B$2:$B$21,A85,'Sessions'!$G$2:$G$21,"needs_confirmation")&gt;0,"Uncertain time",IF(E85=0,"No confirmed time","Logged"))))</x:f>
        <x:v>Future</x:v>
      </x:c>
    </x:row>
    <x:row r="86" ht="22" customHeight="1">
      <x:c r="A86" s="7" t="n">
        <x:v>46381</x:v>
      </x:c>
      <x:c r="B86" s="1" t="str">
        <x:v>Fri</x:v>
      </x:c>
      <x:c r="C86" s="7" t="n">
        <x:f>A86-WEEKDAY(A86,2)+1</x:f>
        <x:v>46377</x:v>
      </x:c>
      <x:c r="D86" s="6" t="n">
        <x:f>IF(WEEKDAY(A86,2)&gt;5,$B$7,IF(A86&lt;$B$8,$H$4,$B$6))</x:f>
        <x:v>7</x:v>
      </x:c>
      <x:c r="E86" s="6" t="str">
        <x:f>IF(A86&gt;$B$4,"",SUMIFS('Sessions'!$F$2:$F$21,'Sessions'!$B$2:$B$21,A86,'Sessions'!$G$2:$G$21,"completed")/60)</x:f>
      </x:c>
      <x:c r="F86" s="6" t="str">
        <x:f>IF(A86&gt;=$B$4,"",MAX(D86-E86,0))</x:f>
      </x:c>
      <x:c r="G86" s="6" t="str">
        <x:f>IF(A86&gt;=$B$4,"",MAX(E86-D86,0))</x:f>
      </x:c>
      <x:c r="H86" s="6" t="str">
        <x:f>IF(A86&gt;=$B$4,"",SUM($D$15:D86))</x:f>
      </x:c>
      <x:c r="I86" s="6" t="str">
        <x:f>IF(A86&gt;$B$4,"",SUM($E$15:E86))</x:f>
      </x:c>
      <x:c r="J86" s="1" t="str">
        <x:f>IF(A86&gt;$B$4,"Future",IF(A86=$B$4,"In progress",IF(COUNTIFS('Sessions'!$B$2:$B$21,A86,'Sessions'!$G$2:$G$21,"needs_confirmation")&gt;0,"Uncertain time",IF(E86=0,"No confirmed time","Logged"))))</x:f>
        <x:v>Future</x:v>
      </x:c>
    </x:row>
    <x:row r="87" ht="22" customHeight="1">
      <x:c r="A87" s="7" t="n">
        <x:v>46382</x:v>
      </x:c>
      <x:c r="B87" s="1" t="str">
        <x:v>Sat</x:v>
      </x:c>
      <x:c r="C87" s="7" t="n">
        <x:f>A87-WEEKDAY(A87,2)+1</x:f>
        <x:v>46377</x:v>
      </x:c>
      <x:c r="D87" s="6" t="n">
        <x:f>IF(WEEKDAY(A87,2)&gt;5,$B$7,IF(A87&lt;$B$8,$H$4,$B$6))</x:f>
        <x:v>10</x:v>
      </x:c>
      <x:c r="E87" s="6" t="str">
        <x:f>IF(A87&gt;$B$4,"",SUMIFS('Sessions'!$F$2:$F$21,'Sessions'!$B$2:$B$21,A87,'Sessions'!$G$2:$G$21,"completed")/60)</x:f>
      </x:c>
      <x:c r="F87" s="6" t="str">
        <x:f>IF(A87&gt;=$B$4,"",MAX(D87-E87,0))</x:f>
      </x:c>
      <x:c r="G87" s="6" t="str">
        <x:f>IF(A87&gt;=$B$4,"",MAX(E87-D87,0))</x:f>
      </x:c>
      <x:c r="H87" s="6" t="str">
        <x:f>IF(A87&gt;=$B$4,"",SUM($D$15:D87))</x:f>
      </x:c>
      <x:c r="I87" s="6" t="str">
        <x:f>IF(A87&gt;$B$4,"",SUM($E$15:E87))</x:f>
      </x:c>
      <x:c r="J87" s="1" t="str">
        <x:f>IF(A87&gt;$B$4,"Future",IF(A87=$B$4,"In progress",IF(COUNTIFS('Sessions'!$B$2:$B$21,A87,'Sessions'!$G$2:$G$21,"needs_confirmation")&gt;0,"Uncertain time",IF(E87=0,"No confirmed time","Logged"))))</x:f>
        <x:v>Future</x:v>
      </x:c>
    </x:row>
    <x:row r="88" ht="22" customHeight="1">
      <x:c r="A88" s="7" t="n">
        <x:v>46383</x:v>
      </x:c>
      <x:c r="B88" s="1" t="str">
        <x:v>Sun</x:v>
      </x:c>
      <x:c r="C88" s="7" t="n">
        <x:f>A88-WEEKDAY(A88,2)+1</x:f>
        <x:v>46377</x:v>
      </x:c>
      <x:c r="D88" s="6" t="n">
        <x:f>IF(WEEKDAY(A88,2)&gt;5,$B$7,IF(A88&lt;$B$8,$H$4,$B$6))</x:f>
        <x:v>10</x:v>
      </x:c>
      <x:c r="E88" s="6" t="str">
        <x:f>IF(A88&gt;$B$4,"",SUMIFS('Sessions'!$F$2:$F$21,'Sessions'!$B$2:$B$21,A88,'Sessions'!$G$2:$G$21,"completed")/60)</x:f>
      </x:c>
      <x:c r="F88" s="6" t="str">
        <x:f>IF(A88&gt;=$B$4,"",MAX(D88-E88,0))</x:f>
      </x:c>
      <x:c r="G88" s="6" t="str">
        <x:f>IF(A88&gt;=$B$4,"",MAX(E88-D88,0))</x:f>
      </x:c>
      <x:c r="H88" s="6" t="str">
        <x:f>IF(A88&gt;=$B$4,"",SUM($D$15:D88))</x:f>
      </x:c>
      <x:c r="I88" s="6" t="str">
        <x:f>IF(A88&gt;$B$4,"",SUM($E$15:E88))</x:f>
      </x:c>
      <x:c r="J88" s="1" t="str">
        <x:f>IF(A88&gt;$B$4,"Future",IF(A88=$B$4,"In progress",IF(COUNTIFS('Sessions'!$B$2:$B$21,A88,'Sessions'!$G$2:$G$21,"needs_confirmation")&gt;0,"Uncertain time",IF(E88=0,"No confirmed time","Logged"))))</x:f>
        <x:v>Future</x:v>
      </x:c>
    </x:row>
    <x:row r="89" ht="22" customHeight="1">
      <x:c r="A89" s="7" t="n">
        <x:v>46384</x:v>
      </x:c>
      <x:c r="B89" s="1" t="str">
        <x:v>Mon</x:v>
      </x:c>
      <x:c r="C89" s="7" t="n">
        <x:f>A89-WEEKDAY(A89,2)+1</x:f>
        <x:v>46384</x:v>
      </x:c>
      <x:c r="D89" s="6" t="n">
        <x:f>IF(WEEKDAY(A89,2)&gt;5,$B$7,IF(A89&lt;$B$8,$H$4,$B$6))</x:f>
        <x:v>7</x:v>
      </x:c>
      <x:c r="E89" s="6" t="str">
        <x:f>IF(A89&gt;$B$4,"",SUMIFS('Sessions'!$F$2:$F$21,'Sessions'!$B$2:$B$21,A89,'Sessions'!$G$2:$G$21,"completed")/60)</x:f>
      </x:c>
      <x:c r="F89" s="6" t="str">
        <x:f>IF(A89&gt;=$B$4,"",MAX(D89-E89,0))</x:f>
      </x:c>
      <x:c r="G89" s="6" t="str">
        <x:f>IF(A89&gt;=$B$4,"",MAX(E89-D89,0))</x:f>
      </x:c>
      <x:c r="H89" s="6" t="str">
        <x:f>IF(A89&gt;=$B$4,"",SUM($D$15:D89))</x:f>
      </x:c>
      <x:c r="I89" s="6" t="str">
        <x:f>IF(A89&gt;$B$4,"",SUM($E$15:E89))</x:f>
      </x:c>
      <x:c r="J89" s="1" t="str">
        <x:f>IF(A89&gt;$B$4,"Future",IF(A89=$B$4,"In progress",IF(COUNTIFS('Sessions'!$B$2:$B$21,A89,'Sessions'!$G$2:$G$21,"needs_confirmation")&gt;0,"Uncertain time",IF(E89=0,"No confirmed time","Logged"))))</x:f>
        <x:v>Future</x:v>
      </x:c>
    </x:row>
    <x:row r="90" ht="22" customHeight="1">
      <x:c r="A90" s="7" t="n">
        <x:v>46385</x:v>
      </x:c>
      <x:c r="B90" s="1" t="str">
        <x:v>Tue</x:v>
      </x:c>
      <x:c r="C90" s="7" t="n">
        <x:f>A90-WEEKDAY(A90,2)+1</x:f>
        <x:v>46384</x:v>
      </x:c>
      <x:c r="D90" s="6" t="n">
        <x:f>IF(WEEKDAY(A90,2)&gt;5,$B$7,IF(A90&lt;$B$8,$H$4,$B$6))</x:f>
        <x:v>7</x:v>
      </x:c>
      <x:c r="E90" s="6" t="str">
        <x:f>IF(A90&gt;$B$4,"",SUMIFS('Sessions'!$F$2:$F$21,'Sessions'!$B$2:$B$21,A90,'Sessions'!$G$2:$G$21,"completed")/60)</x:f>
      </x:c>
      <x:c r="F90" s="6" t="str">
        <x:f>IF(A90&gt;=$B$4,"",MAX(D90-E90,0))</x:f>
      </x:c>
      <x:c r="G90" s="6" t="str">
        <x:f>IF(A90&gt;=$B$4,"",MAX(E90-D90,0))</x:f>
      </x:c>
      <x:c r="H90" s="6" t="str">
        <x:f>IF(A90&gt;=$B$4,"",SUM($D$15:D90))</x:f>
      </x:c>
      <x:c r="I90" s="6" t="str">
        <x:f>IF(A90&gt;$B$4,"",SUM($E$15:E90))</x:f>
      </x:c>
      <x:c r="J90" s="1" t="str">
        <x:f>IF(A90&gt;$B$4,"Future",IF(A90=$B$4,"In progress",IF(COUNTIFS('Sessions'!$B$2:$B$21,A90,'Sessions'!$G$2:$G$21,"needs_confirmation")&gt;0,"Uncertain time",IF(E90=0,"No confirmed time","Logged"))))</x:f>
        <x:v>Future</x:v>
      </x:c>
    </x:row>
    <x:row r="91" ht="22" customHeight="1">
      <x:c r="A91" s="7" t="n">
        <x:v>46386</x:v>
      </x:c>
      <x:c r="B91" s="1" t="str">
        <x:v>Wed</x:v>
      </x:c>
      <x:c r="C91" s="7" t="n">
        <x:f>A91-WEEKDAY(A91,2)+1</x:f>
        <x:v>46384</x:v>
      </x:c>
      <x:c r="D91" s="6" t="n">
        <x:f>IF(WEEKDAY(A91,2)&gt;5,$B$7,IF(A91&lt;$B$8,$H$4,$B$6))</x:f>
        <x:v>7</x:v>
      </x:c>
      <x:c r="E91" s="6" t="str">
        <x:f>IF(A91&gt;$B$4,"",SUMIFS('Sessions'!$F$2:$F$21,'Sessions'!$B$2:$B$21,A91,'Sessions'!$G$2:$G$21,"completed")/60)</x:f>
      </x:c>
      <x:c r="F91" s="6" t="str">
        <x:f>IF(A91&gt;=$B$4,"",MAX(D91-E91,0))</x:f>
      </x:c>
      <x:c r="G91" s="6" t="str">
        <x:f>IF(A91&gt;=$B$4,"",MAX(E91-D91,0))</x:f>
      </x:c>
      <x:c r="H91" s="6" t="str">
        <x:f>IF(A91&gt;=$B$4,"",SUM($D$15:D91))</x:f>
      </x:c>
      <x:c r="I91" s="6" t="str">
        <x:f>IF(A91&gt;$B$4,"",SUM($E$15:E91))</x:f>
      </x:c>
      <x:c r="J91" s="1" t="str">
        <x:f>IF(A91&gt;$B$4,"Future",IF(A91=$B$4,"In progress",IF(COUNTIFS('Sessions'!$B$2:$B$21,A91,'Sessions'!$G$2:$G$21,"needs_confirmation")&gt;0,"Uncertain time",IF(E91=0,"No confirmed time","Logged"))))</x:f>
        <x:v>Future</x:v>
      </x:c>
    </x:row>
    <x:row r="92" ht="22" customHeight="1">
      <x:c r="A92" s="7" t="n">
        <x:v>46387</x:v>
      </x:c>
      <x:c r="B92" s="1" t="str">
        <x:v>Thu</x:v>
      </x:c>
      <x:c r="C92" s="7" t="n">
        <x:f>A92-WEEKDAY(A92,2)+1</x:f>
        <x:v>46384</x:v>
      </x:c>
      <x:c r="D92" s="6" t="n">
        <x:f>IF(WEEKDAY(A92,2)&gt;5,$B$7,IF(A92&lt;$B$8,$H$4,$B$6))</x:f>
        <x:v>7</x:v>
      </x:c>
      <x:c r="E92" s="6" t="str">
        <x:f>IF(A92&gt;$B$4,"",SUMIFS('Sessions'!$F$2:$F$21,'Sessions'!$B$2:$B$21,A92,'Sessions'!$G$2:$G$21,"completed")/60)</x:f>
      </x:c>
      <x:c r="F92" s="6" t="str">
        <x:f>IF(A92&gt;=$B$4,"",MAX(D92-E92,0))</x:f>
      </x:c>
      <x:c r="G92" s="6" t="str">
        <x:f>IF(A92&gt;=$B$4,"",MAX(E92-D92,0))</x:f>
      </x:c>
      <x:c r="H92" s="6" t="str">
        <x:f>IF(A92&gt;=$B$4,"",SUM($D$15:D92))</x:f>
      </x:c>
      <x:c r="I92" s="6" t="str">
        <x:f>IF(A92&gt;$B$4,"",SUM($E$15:E92))</x:f>
      </x:c>
      <x:c r="J92" s="1" t="str">
        <x:f>IF(A92&gt;$B$4,"Future",IF(A92=$B$4,"In progress",IF(COUNTIFS('Sessions'!$B$2:$B$21,A92,'Sessions'!$G$2:$G$21,"needs_confirmation")&gt;0,"Uncertain time",IF(E92=0,"No confirmed time","Logged"))))</x:f>
        <x:v>Future</x:v>
      </x:c>
    </x:row>
    <x:row r="93" ht="22" customHeight="1">
      <x:c r="A93" s="7" t="n">
        <x:v>46388</x:v>
      </x:c>
      <x:c r="B93" s="1" t="str">
        <x:v>Fri</x:v>
      </x:c>
      <x:c r="C93" s="7" t="n">
        <x:f>A93-WEEKDAY(A93,2)+1</x:f>
        <x:v>46384</x:v>
      </x:c>
      <x:c r="D93" s="6" t="n">
        <x:f>IF(WEEKDAY(A93,2)&gt;5,$B$7,IF(A93&lt;$B$8,$H$4,$B$6))</x:f>
        <x:v>7</x:v>
      </x:c>
      <x:c r="E93" s="6" t="str">
        <x:f>IF(A93&gt;$B$4,"",SUMIFS('Sessions'!$F$2:$F$21,'Sessions'!$B$2:$B$21,A93,'Sessions'!$G$2:$G$21,"completed")/60)</x:f>
      </x:c>
      <x:c r="F93" s="6" t="str">
        <x:f>IF(A93&gt;=$B$4,"",MAX(D93-E93,0))</x:f>
      </x:c>
      <x:c r="G93" s="6" t="str">
        <x:f>IF(A93&gt;=$B$4,"",MAX(E93-D93,0))</x:f>
      </x:c>
      <x:c r="H93" s="6" t="str">
        <x:f>IF(A93&gt;=$B$4,"",SUM($D$15:D93))</x:f>
      </x:c>
      <x:c r="I93" s="6" t="str">
        <x:f>IF(A93&gt;$B$4,"",SUM($E$15:E93))</x:f>
      </x:c>
      <x:c r="J93" s="1" t="str">
        <x:f>IF(A93&gt;$B$4,"Future",IF(A93=$B$4,"In progress",IF(COUNTIFS('Sessions'!$B$2:$B$21,A93,'Sessions'!$G$2:$G$21,"needs_confirmation")&gt;0,"Uncertain time",IF(E93=0,"No confirmed time","Logged"))))</x:f>
        <x:v>Future</x:v>
      </x:c>
    </x:row>
    <x:row r="94" ht="22" customHeight="1">
      <x:c r="A94" s="7" t="n">
        <x:v>46389</x:v>
      </x:c>
      <x:c r="B94" s="1" t="str">
        <x:v>Sat</x:v>
      </x:c>
      <x:c r="C94" s="7" t="n">
        <x:f>A94-WEEKDAY(A94,2)+1</x:f>
        <x:v>46384</x:v>
      </x:c>
      <x:c r="D94" s="6" t="n">
        <x:f>IF(WEEKDAY(A94,2)&gt;5,$B$7,IF(A94&lt;$B$8,$H$4,$B$6))</x:f>
        <x:v>10</x:v>
      </x:c>
      <x:c r="E94" s="6" t="str">
        <x:f>IF(A94&gt;$B$4,"",SUMIFS('Sessions'!$F$2:$F$21,'Sessions'!$B$2:$B$21,A94,'Sessions'!$G$2:$G$21,"completed")/60)</x:f>
      </x:c>
      <x:c r="F94" s="6" t="str">
        <x:f>IF(A94&gt;=$B$4,"",MAX(D94-E94,0))</x:f>
      </x:c>
      <x:c r="G94" s="6" t="str">
        <x:f>IF(A94&gt;=$B$4,"",MAX(E94-D94,0))</x:f>
      </x:c>
      <x:c r="H94" s="6" t="str">
        <x:f>IF(A94&gt;=$B$4,"",SUM($D$15:D94))</x:f>
      </x:c>
      <x:c r="I94" s="6" t="str">
        <x:f>IF(A94&gt;$B$4,"",SUM($E$15:E94))</x:f>
      </x:c>
      <x:c r="J94" s="1" t="str">
        <x:f>IF(A94&gt;$B$4,"Future",IF(A94=$B$4,"In progress",IF(COUNTIFS('Sessions'!$B$2:$B$21,A94,'Sessions'!$G$2:$G$21,"needs_confirmation")&gt;0,"Uncertain time",IF(E94=0,"No confirmed time","Logged"))))</x:f>
        <x:v>Future</x:v>
      </x:c>
    </x:row>
    <x:row r="95" ht="22" customHeight="1">
      <x:c r="A95" s="7" t="n">
        <x:v>46390</x:v>
      </x:c>
      <x:c r="B95" s="1" t="str">
        <x:v>Sun</x:v>
      </x:c>
      <x:c r="C95" s="7" t="n">
        <x:f>A95-WEEKDAY(A95,2)+1</x:f>
        <x:v>46384</x:v>
      </x:c>
      <x:c r="D95" s="6" t="n">
        <x:f>IF(WEEKDAY(A95,2)&gt;5,$B$7,IF(A95&lt;$B$8,$H$4,$B$6))</x:f>
        <x:v>10</x:v>
      </x:c>
      <x:c r="E95" s="6" t="str">
        <x:f>IF(A95&gt;$B$4,"",SUMIFS('Sessions'!$F$2:$F$21,'Sessions'!$B$2:$B$21,A95,'Sessions'!$G$2:$G$21,"completed")/60)</x:f>
      </x:c>
      <x:c r="F95" s="6" t="str">
        <x:f>IF(A95&gt;=$B$4,"",MAX(D95-E95,0))</x:f>
      </x:c>
      <x:c r="G95" s="6" t="str">
        <x:f>IF(A95&gt;=$B$4,"",MAX(E95-D95,0))</x:f>
      </x:c>
      <x:c r="H95" s="6" t="str">
        <x:f>IF(A95&gt;=$B$4,"",SUM($D$15:D95))</x:f>
      </x:c>
      <x:c r="I95" s="6" t="str">
        <x:f>IF(A95&gt;$B$4,"",SUM($E$15:E95))</x:f>
      </x:c>
      <x:c r="J95" s="1" t="str">
        <x:f>IF(A95&gt;$B$4,"Future",IF(A95=$B$4,"In progress",IF(COUNTIFS('Sessions'!$B$2:$B$21,A95,'Sessions'!$G$2:$G$21,"needs_confirmation")&gt;0,"Uncertain time",IF(E95=0,"No confirmed time","Logged"))))</x:f>
        <x:v>Future</x:v>
      </x:c>
    </x:row>
    <x:row r="96" ht="22" customHeight="1">
      <x:c r="A96" s="7" t="n">
        <x:v>46391</x:v>
      </x:c>
      <x:c r="B96" s="1" t="str">
        <x:v>Mon</x:v>
      </x:c>
      <x:c r="C96" s="7" t="n">
        <x:f>A96-WEEKDAY(A96,2)+1</x:f>
        <x:v>46391</x:v>
      </x:c>
      <x:c r="D96" s="6" t="n">
        <x:f>IF(WEEKDAY(A96,2)&gt;5,$B$7,IF(A96&lt;$B$8,$H$4,$B$6))</x:f>
        <x:v>7</x:v>
      </x:c>
      <x:c r="E96" s="6" t="str">
        <x:f>IF(A96&gt;$B$4,"",SUMIFS('Sessions'!$F$2:$F$21,'Sessions'!$B$2:$B$21,A96,'Sessions'!$G$2:$G$21,"completed")/60)</x:f>
      </x:c>
      <x:c r="F96" s="6" t="str">
        <x:f>IF(A96&gt;=$B$4,"",MAX(D96-E96,0))</x:f>
      </x:c>
      <x:c r="G96" s="6" t="str">
        <x:f>IF(A96&gt;=$B$4,"",MAX(E96-D96,0))</x:f>
      </x:c>
      <x:c r="H96" s="6" t="str">
        <x:f>IF(A96&gt;=$B$4,"",SUM($D$15:D96))</x:f>
      </x:c>
      <x:c r="I96" s="6" t="str">
        <x:f>IF(A96&gt;$B$4,"",SUM($E$15:E96))</x:f>
      </x:c>
      <x:c r="J96" s="1" t="str">
        <x:f>IF(A96&gt;$B$4,"Future",IF(A96=$B$4,"In progress",IF(COUNTIFS('Sessions'!$B$2:$B$21,A96,'Sessions'!$G$2:$G$21,"needs_confirmation")&gt;0,"Uncertain time",IF(E96=0,"No confirmed time","Logged"))))</x:f>
        <x:v>Future</x:v>
      </x:c>
    </x:row>
    <x:row r="97" ht="22" customHeight="1">
      <x:c r="A97" s="7" t="n">
        <x:v>46392</x:v>
      </x:c>
      <x:c r="B97" s="1" t="str">
        <x:v>Tue</x:v>
      </x:c>
      <x:c r="C97" s="7" t="n">
        <x:f>A97-WEEKDAY(A97,2)+1</x:f>
        <x:v>46391</x:v>
      </x:c>
      <x:c r="D97" s="6" t="n">
        <x:f>IF(WEEKDAY(A97,2)&gt;5,$B$7,IF(A97&lt;$B$8,$H$4,$B$6))</x:f>
        <x:v>7</x:v>
      </x:c>
      <x:c r="E97" s="6" t="str">
        <x:f>IF(A97&gt;$B$4,"",SUMIFS('Sessions'!$F$2:$F$21,'Sessions'!$B$2:$B$21,A97,'Sessions'!$G$2:$G$21,"completed")/60)</x:f>
      </x:c>
      <x:c r="F97" s="6" t="str">
        <x:f>IF(A97&gt;=$B$4,"",MAX(D97-E97,0))</x:f>
      </x:c>
      <x:c r="G97" s="6" t="str">
        <x:f>IF(A97&gt;=$B$4,"",MAX(E97-D97,0))</x:f>
      </x:c>
      <x:c r="H97" s="6" t="str">
        <x:f>IF(A97&gt;=$B$4,"",SUM($D$15:D97))</x:f>
      </x:c>
      <x:c r="I97" s="6" t="str">
        <x:f>IF(A97&gt;$B$4,"",SUM($E$15:E97))</x:f>
      </x:c>
      <x:c r="J97" s="1" t="str">
        <x:f>IF(A97&gt;$B$4,"Future",IF(A97=$B$4,"In progress",IF(COUNTIFS('Sessions'!$B$2:$B$21,A97,'Sessions'!$G$2:$G$21,"needs_confirmation")&gt;0,"Uncertain time",IF(E97=0,"No confirmed time","Logged"))))</x:f>
        <x:v>Future</x:v>
      </x:c>
    </x:row>
    <x:row r="98" ht="22" customHeight="1">
      <x:c r="A98" s="7" t="n">
        <x:v>46393</x:v>
      </x:c>
      <x:c r="B98" s="1" t="str">
        <x:v>Wed</x:v>
      </x:c>
      <x:c r="C98" s="7" t="n">
        <x:f>A98-WEEKDAY(A98,2)+1</x:f>
        <x:v>46391</x:v>
      </x:c>
      <x:c r="D98" s="6" t="n">
        <x:f>IF(WEEKDAY(A98,2)&gt;5,$B$7,IF(A98&lt;$B$8,$H$4,$B$6))</x:f>
        <x:v>7</x:v>
      </x:c>
      <x:c r="E98" s="6" t="str">
        <x:f>IF(A98&gt;$B$4,"",SUMIFS('Sessions'!$F$2:$F$21,'Sessions'!$B$2:$B$21,A98,'Sessions'!$G$2:$G$21,"completed")/60)</x:f>
      </x:c>
      <x:c r="F98" s="6" t="str">
        <x:f>IF(A98&gt;=$B$4,"",MAX(D98-E98,0))</x:f>
      </x:c>
      <x:c r="G98" s="6" t="str">
        <x:f>IF(A98&gt;=$B$4,"",MAX(E98-D98,0))</x:f>
      </x:c>
      <x:c r="H98" s="6" t="str">
        <x:f>IF(A98&gt;=$B$4,"",SUM($D$15:D98))</x:f>
      </x:c>
      <x:c r="I98" s="6" t="str">
        <x:f>IF(A98&gt;$B$4,"",SUM($E$15:E98))</x:f>
      </x:c>
      <x:c r="J98" s="1" t="str">
        <x:f>IF(A98&gt;$B$4,"Future",IF(A98=$B$4,"In progress",IF(COUNTIFS('Sessions'!$B$2:$B$21,A98,'Sessions'!$G$2:$G$21,"needs_confirmation")&gt;0,"Uncertain time",IF(E98=0,"No confirmed time","Logged"))))</x:f>
        <x:v>Future</x:v>
      </x:c>
    </x:row>
    <x:row r="99" ht="22" customHeight="1">
      <x:c r="A99" s="7" t="n">
        <x:v>46394</x:v>
      </x:c>
      <x:c r="B99" s="1" t="str">
        <x:v>Thu</x:v>
      </x:c>
      <x:c r="C99" s="7" t="n">
        <x:f>A99-WEEKDAY(A99,2)+1</x:f>
        <x:v>46391</x:v>
      </x:c>
      <x:c r="D99" s="6" t="n">
        <x:f>IF(WEEKDAY(A99,2)&gt;5,$B$7,IF(A99&lt;$B$8,$H$4,$B$6))</x:f>
        <x:v>7</x:v>
      </x:c>
      <x:c r="E99" s="6" t="str">
        <x:f>IF(A99&gt;$B$4,"",SUMIFS('Sessions'!$F$2:$F$21,'Sessions'!$B$2:$B$21,A99,'Sessions'!$G$2:$G$21,"completed")/60)</x:f>
      </x:c>
      <x:c r="F99" s="6" t="str">
        <x:f>IF(A99&gt;=$B$4,"",MAX(D99-E99,0))</x:f>
      </x:c>
      <x:c r="G99" s="6" t="str">
        <x:f>IF(A99&gt;=$B$4,"",MAX(E99-D99,0))</x:f>
      </x:c>
      <x:c r="H99" s="6" t="str">
        <x:f>IF(A99&gt;=$B$4,"",SUM($D$15:D99))</x:f>
      </x:c>
      <x:c r="I99" s="6" t="str">
        <x:f>IF(A99&gt;$B$4,"",SUM($E$15:E99))</x:f>
      </x:c>
      <x:c r="J99" s="1" t="str">
        <x:f>IF(A99&gt;$B$4,"Future",IF(A99=$B$4,"In progress",IF(COUNTIFS('Sessions'!$B$2:$B$21,A99,'Sessions'!$G$2:$G$21,"needs_confirmation")&gt;0,"Uncertain time",IF(E99=0,"No confirmed time","Logged"))))</x:f>
        <x:v>Future</x:v>
      </x:c>
    </x:row>
    <x:row r="100" ht="22" customHeight="1">
      <x:c r="A100" s="7" t="n">
        <x:v>46395</x:v>
      </x:c>
      <x:c r="B100" s="1" t="str">
        <x:v>Fri</x:v>
      </x:c>
      <x:c r="C100" s="7" t="n">
        <x:f>A100-WEEKDAY(A100,2)+1</x:f>
        <x:v>46391</x:v>
      </x:c>
      <x:c r="D100" s="6" t="n">
        <x:f>IF(WEEKDAY(A100,2)&gt;5,$B$7,IF(A100&lt;$B$8,$H$4,$B$6))</x:f>
        <x:v>7</x:v>
      </x:c>
      <x:c r="E100" s="6" t="str">
        <x:f>IF(A100&gt;$B$4,"",SUMIFS('Sessions'!$F$2:$F$21,'Sessions'!$B$2:$B$21,A100,'Sessions'!$G$2:$G$21,"completed")/60)</x:f>
      </x:c>
      <x:c r="F100" s="6" t="str">
        <x:f>IF(A100&gt;=$B$4,"",MAX(D100-E100,0))</x:f>
      </x:c>
      <x:c r="G100" s="6" t="str">
        <x:f>IF(A100&gt;=$B$4,"",MAX(E100-D100,0))</x:f>
      </x:c>
      <x:c r="H100" s="6" t="str">
        <x:f>IF(A100&gt;=$B$4,"",SUM($D$15:D100))</x:f>
      </x:c>
      <x:c r="I100" s="6" t="str">
        <x:f>IF(A100&gt;$B$4,"",SUM($E$15:E100))</x:f>
      </x:c>
      <x:c r="J100" s="1" t="str">
        <x:f>IF(A100&gt;$B$4,"Future",IF(A100=$B$4,"In progress",IF(COUNTIFS('Sessions'!$B$2:$B$21,A100,'Sessions'!$G$2:$G$21,"needs_confirmation")&gt;0,"Uncertain time",IF(E100=0,"No confirmed time","Logged"))))</x:f>
        <x:v>Future</x:v>
      </x:c>
    </x:row>
    <x:row r="101" ht="22" customHeight="1">
      <x:c r="A101" s="7" t="n">
        <x:v>46396</x:v>
      </x:c>
      <x:c r="B101" s="1" t="str">
        <x:v>Sat</x:v>
      </x:c>
      <x:c r="C101" s="7" t="n">
        <x:f>A101-WEEKDAY(A101,2)+1</x:f>
        <x:v>46391</x:v>
      </x:c>
      <x:c r="D101" s="6" t="n">
        <x:f>IF(WEEKDAY(A101,2)&gt;5,$B$7,IF(A101&lt;$B$8,$H$4,$B$6))</x:f>
        <x:v>10</x:v>
      </x:c>
      <x:c r="E101" s="6" t="str">
        <x:f>IF(A101&gt;$B$4,"",SUMIFS('Sessions'!$F$2:$F$21,'Sessions'!$B$2:$B$21,A101,'Sessions'!$G$2:$G$21,"completed")/60)</x:f>
      </x:c>
      <x:c r="F101" s="6" t="str">
        <x:f>IF(A101&gt;=$B$4,"",MAX(D101-E101,0))</x:f>
      </x:c>
      <x:c r="G101" s="6" t="str">
        <x:f>IF(A101&gt;=$B$4,"",MAX(E101-D101,0))</x:f>
      </x:c>
      <x:c r="H101" s="6" t="str">
        <x:f>IF(A101&gt;=$B$4,"",SUM($D$15:D101))</x:f>
      </x:c>
      <x:c r="I101" s="6" t="str">
        <x:f>IF(A101&gt;$B$4,"",SUM($E$15:E101))</x:f>
      </x:c>
      <x:c r="J101" s="1" t="str">
        <x:f>IF(A101&gt;$B$4,"Future",IF(A101=$B$4,"In progress",IF(COUNTIFS('Sessions'!$B$2:$B$21,A101,'Sessions'!$G$2:$G$21,"needs_confirmation")&gt;0,"Uncertain time",IF(E101=0,"No confirmed time","Logged"))))</x:f>
        <x:v>Future</x:v>
      </x:c>
    </x:row>
    <x:row r="102" ht="22" customHeight="1">
      <x:c r="A102" s="7" t="n">
        <x:v>46397</x:v>
      </x:c>
      <x:c r="B102" s="1" t="str">
        <x:v>Sun</x:v>
      </x:c>
      <x:c r="C102" s="7" t="n">
        <x:f>A102-WEEKDAY(A102,2)+1</x:f>
        <x:v>46391</x:v>
      </x:c>
      <x:c r="D102" s="6" t="n">
        <x:f>IF(WEEKDAY(A102,2)&gt;5,$B$7,IF(A102&lt;$B$8,$H$4,$B$6))</x:f>
        <x:v>10</x:v>
      </x:c>
      <x:c r="E102" s="6" t="str">
        <x:f>IF(A102&gt;$B$4,"",SUMIFS('Sessions'!$F$2:$F$21,'Sessions'!$B$2:$B$21,A102,'Sessions'!$G$2:$G$21,"completed")/60)</x:f>
      </x:c>
      <x:c r="F102" s="6" t="str">
        <x:f>IF(A102&gt;=$B$4,"",MAX(D102-E102,0))</x:f>
      </x:c>
      <x:c r="G102" s="6" t="str">
        <x:f>IF(A102&gt;=$B$4,"",MAX(E102-D102,0))</x:f>
      </x:c>
      <x:c r="H102" s="6" t="str">
        <x:f>IF(A102&gt;=$B$4,"",SUM($D$15:D102))</x:f>
      </x:c>
      <x:c r="I102" s="6" t="str">
        <x:f>IF(A102&gt;$B$4,"",SUM($E$15:E102))</x:f>
      </x:c>
      <x:c r="J102" s="1" t="str">
        <x:f>IF(A102&gt;$B$4,"Future",IF(A102=$B$4,"In progress",IF(COUNTIFS('Sessions'!$B$2:$B$21,A102,'Sessions'!$G$2:$G$21,"needs_confirmation")&gt;0,"Uncertain time",IF(E102=0,"No confirmed time","Logged"))))</x:f>
        <x:v>Future</x:v>
      </x:c>
    </x:row>
    <x:row r="103" ht="22" customHeight="1">
      <x:c r="A103" s="7" t="n">
        <x:v>46398</x:v>
      </x:c>
      <x:c r="B103" s="1" t="str">
        <x:v>Mon</x:v>
      </x:c>
      <x:c r="C103" s="7" t="n">
        <x:f>A103-WEEKDAY(A103,2)+1</x:f>
        <x:v>46398</x:v>
      </x:c>
      <x:c r="D103" s="6" t="n">
        <x:f>IF(WEEKDAY(A103,2)&gt;5,$B$7,IF(A103&lt;$B$8,$H$4,$B$6))</x:f>
        <x:v>7</x:v>
      </x:c>
      <x:c r="E103" s="6" t="str">
        <x:f>IF(A103&gt;$B$4,"",SUMIFS('Sessions'!$F$2:$F$21,'Sessions'!$B$2:$B$21,A103,'Sessions'!$G$2:$G$21,"completed")/60)</x:f>
      </x:c>
      <x:c r="F103" s="6" t="str">
        <x:f>IF(A103&gt;=$B$4,"",MAX(D103-E103,0))</x:f>
      </x:c>
      <x:c r="G103" s="6" t="str">
        <x:f>IF(A103&gt;=$B$4,"",MAX(E103-D103,0))</x:f>
      </x:c>
      <x:c r="H103" s="6" t="str">
        <x:f>IF(A103&gt;=$B$4,"",SUM($D$15:D103))</x:f>
      </x:c>
      <x:c r="I103" s="6" t="str">
        <x:f>IF(A103&gt;$B$4,"",SUM($E$15:E103))</x:f>
      </x:c>
      <x:c r="J103" s="1" t="str">
        <x:f>IF(A103&gt;$B$4,"Future",IF(A103=$B$4,"In progress",IF(COUNTIFS('Sessions'!$B$2:$B$21,A103,'Sessions'!$G$2:$G$21,"needs_confirmation")&gt;0,"Uncertain time",IF(E103=0,"No confirmed time","Logged"))))</x:f>
        <x:v>Future</x:v>
      </x:c>
    </x:row>
    <x:row r="104" ht="22" customHeight="1">
      <x:c r="A104" s="7" t="n">
        <x:v>46399</x:v>
      </x:c>
      <x:c r="B104" s="1" t="str">
        <x:v>Tue</x:v>
      </x:c>
      <x:c r="C104" s="7" t="n">
        <x:f>A104-WEEKDAY(A104,2)+1</x:f>
        <x:v>46398</x:v>
      </x:c>
      <x:c r="D104" s="6" t="n">
        <x:f>IF(WEEKDAY(A104,2)&gt;5,$B$7,IF(A104&lt;$B$8,$H$4,$B$6))</x:f>
        <x:v>7</x:v>
      </x:c>
      <x:c r="E104" s="6" t="str">
        <x:f>IF(A104&gt;$B$4,"",SUMIFS('Sessions'!$F$2:$F$21,'Sessions'!$B$2:$B$21,A104,'Sessions'!$G$2:$G$21,"completed")/60)</x:f>
      </x:c>
      <x:c r="F104" s="6" t="str">
        <x:f>IF(A104&gt;=$B$4,"",MAX(D104-E104,0))</x:f>
      </x:c>
      <x:c r="G104" s="6" t="str">
        <x:f>IF(A104&gt;=$B$4,"",MAX(E104-D104,0))</x:f>
      </x:c>
      <x:c r="H104" s="6" t="str">
        <x:f>IF(A104&gt;=$B$4,"",SUM($D$15:D104))</x:f>
      </x:c>
      <x:c r="I104" s="6" t="str">
        <x:f>IF(A104&gt;$B$4,"",SUM($E$15:E104))</x:f>
      </x:c>
      <x:c r="J104" s="1" t="str">
        <x:f>IF(A104&gt;$B$4,"Future",IF(A104=$B$4,"In progress",IF(COUNTIFS('Sessions'!$B$2:$B$21,A104,'Sessions'!$G$2:$G$21,"needs_confirmation")&gt;0,"Uncertain time",IF(E104=0,"No confirmed time","Logged"))))</x:f>
        <x:v>Future</x:v>
      </x:c>
    </x:row>
    <x:row r="105" ht="22" customHeight="1">
      <x:c r="A105" s="7" t="n">
        <x:v>46400</x:v>
      </x:c>
      <x:c r="B105" s="1" t="str">
        <x:v>Wed</x:v>
      </x:c>
      <x:c r="C105" s="7" t="n">
        <x:f>A105-WEEKDAY(A105,2)+1</x:f>
        <x:v>46398</x:v>
      </x:c>
      <x:c r="D105" s="6" t="n">
        <x:f>IF(WEEKDAY(A105,2)&gt;5,$B$7,IF(A105&lt;$B$8,$H$4,$B$6))</x:f>
        <x:v>7</x:v>
      </x:c>
      <x:c r="E105" s="6" t="str">
        <x:f>IF(A105&gt;$B$4,"",SUMIFS('Sessions'!$F$2:$F$21,'Sessions'!$B$2:$B$21,A105,'Sessions'!$G$2:$G$21,"completed")/60)</x:f>
      </x:c>
      <x:c r="F105" s="6" t="str">
        <x:f>IF(A105&gt;=$B$4,"",MAX(D105-E105,0))</x:f>
      </x:c>
      <x:c r="G105" s="6" t="str">
        <x:f>IF(A105&gt;=$B$4,"",MAX(E105-D105,0))</x:f>
      </x:c>
      <x:c r="H105" s="6" t="str">
        <x:f>IF(A105&gt;=$B$4,"",SUM($D$15:D105))</x:f>
      </x:c>
      <x:c r="I105" s="6" t="str">
        <x:f>IF(A105&gt;$B$4,"",SUM($E$15:E105))</x:f>
      </x:c>
      <x:c r="J105" s="1" t="str">
        <x:f>IF(A105&gt;$B$4,"Future",IF(A105=$B$4,"In progress",IF(COUNTIFS('Sessions'!$B$2:$B$21,A105,'Sessions'!$G$2:$G$21,"needs_confirmation")&gt;0,"Uncertain time",IF(E105=0,"No confirmed time","Logged"))))</x:f>
        <x:v>Future</x:v>
      </x:c>
    </x:row>
    <x:row r="106" ht="22" customHeight="1">
      <x:c r="A106" s="7" t="n">
        <x:v>46401</x:v>
      </x:c>
      <x:c r="B106" s="1" t="str">
        <x:v>Thu</x:v>
      </x:c>
      <x:c r="C106" s="7" t="n">
        <x:f>A106-WEEKDAY(A106,2)+1</x:f>
        <x:v>46398</x:v>
      </x:c>
      <x:c r="D106" s="6" t="n">
        <x:f>IF(WEEKDAY(A106,2)&gt;5,$B$7,IF(A106&lt;$B$8,$H$4,$B$6))</x:f>
        <x:v>7</x:v>
      </x:c>
      <x:c r="E106" s="6" t="str">
        <x:f>IF(A106&gt;$B$4,"",SUMIFS('Sessions'!$F$2:$F$21,'Sessions'!$B$2:$B$21,A106,'Sessions'!$G$2:$G$21,"completed")/60)</x:f>
      </x:c>
      <x:c r="F106" s="6" t="str">
        <x:f>IF(A106&gt;=$B$4,"",MAX(D106-E106,0))</x:f>
      </x:c>
      <x:c r="G106" s="6" t="str">
        <x:f>IF(A106&gt;=$B$4,"",MAX(E106-D106,0))</x:f>
      </x:c>
      <x:c r="H106" s="6" t="str">
        <x:f>IF(A106&gt;=$B$4,"",SUM($D$15:D106))</x:f>
      </x:c>
      <x:c r="I106" s="6" t="str">
        <x:f>IF(A106&gt;$B$4,"",SUM($E$15:E106))</x:f>
      </x:c>
      <x:c r="J106" s="1" t="str">
        <x:f>IF(A106&gt;$B$4,"Future",IF(A106=$B$4,"In progress",IF(COUNTIFS('Sessions'!$B$2:$B$21,A106,'Sessions'!$G$2:$G$21,"needs_confirmation")&gt;0,"Uncertain time",IF(E106=0,"No confirmed time","Logged"))))</x:f>
        <x:v>Future</x:v>
      </x:c>
    </x:row>
    <x:row r="107" ht="22" customHeight="1">
      <x:c r="A107" s="7" t="n">
        <x:v>46402</x:v>
      </x:c>
      <x:c r="B107" s="1" t="str">
        <x:v>Fri</x:v>
      </x:c>
      <x:c r="C107" s="7" t="n">
        <x:f>A107-WEEKDAY(A107,2)+1</x:f>
        <x:v>46398</x:v>
      </x:c>
      <x:c r="D107" s="6" t="n">
        <x:f>IF(WEEKDAY(A107,2)&gt;5,$B$7,IF(A107&lt;$B$8,$H$4,$B$6))</x:f>
        <x:v>7</x:v>
      </x:c>
      <x:c r="E107" s="6" t="str">
        <x:f>IF(A107&gt;$B$4,"",SUMIFS('Sessions'!$F$2:$F$21,'Sessions'!$B$2:$B$21,A107,'Sessions'!$G$2:$G$21,"completed")/60)</x:f>
      </x:c>
      <x:c r="F107" s="6" t="str">
        <x:f>IF(A107&gt;=$B$4,"",MAX(D107-E107,0))</x:f>
      </x:c>
      <x:c r="G107" s="6" t="str">
        <x:f>IF(A107&gt;=$B$4,"",MAX(E107-D107,0))</x:f>
      </x:c>
      <x:c r="H107" s="6" t="str">
        <x:f>IF(A107&gt;=$B$4,"",SUM($D$15:D107))</x:f>
      </x:c>
      <x:c r="I107" s="6" t="str">
        <x:f>IF(A107&gt;$B$4,"",SUM($E$15:E107))</x:f>
      </x:c>
      <x:c r="J107" s="1" t="str">
        <x:f>IF(A107&gt;$B$4,"Future",IF(A107=$B$4,"In progress",IF(COUNTIFS('Sessions'!$B$2:$B$21,A107,'Sessions'!$G$2:$G$21,"needs_confirmation")&gt;0,"Uncertain time",IF(E107=0,"No confirmed time","Logged"))))</x:f>
        <x:v>Future</x:v>
      </x:c>
    </x:row>
    <x:row r="108" ht="22" customHeight="1">
      <x:c r="A108" s="7" t="n">
        <x:v>46403</x:v>
      </x:c>
      <x:c r="B108" s="1" t="str">
        <x:v>Sat</x:v>
      </x:c>
      <x:c r="C108" s="7" t="n">
        <x:f>A108-WEEKDAY(A108,2)+1</x:f>
        <x:v>46398</x:v>
      </x:c>
      <x:c r="D108" s="6" t="n">
        <x:f>IF(WEEKDAY(A108,2)&gt;5,$B$7,IF(A108&lt;$B$8,$H$4,$B$6))</x:f>
        <x:v>10</x:v>
      </x:c>
      <x:c r="E108" s="6" t="str">
        <x:f>IF(A108&gt;$B$4,"",SUMIFS('Sessions'!$F$2:$F$21,'Sessions'!$B$2:$B$21,A108,'Sessions'!$G$2:$G$21,"completed")/60)</x:f>
      </x:c>
      <x:c r="F108" s="6" t="str">
        <x:f>IF(A108&gt;=$B$4,"",MAX(D108-E108,0))</x:f>
      </x:c>
      <x:c r="G108" s="6" t="str">
        <x:f>IF(A108&gt;=$B$4,"",MAX(E108-D108,0))</x:f>
      </x:c>
      <x:c r="H108" s="6" t="str">
        <x:f>IF(A108&gt;=$B$4,"",SUM($D$15:D108))</x:f>
      </x:c>
      <x:c r="I108" s="6" t="str">
        <x:f>IF(A108&gt;$B$4,"",SUM($E$15:E108))</x:f>
      </x:c>
      <x:c r="J108" s="1" t="str">
        <x:f>IF(A108&gt;$B$4,"Future",IF(A108=$B$4,"In progress",IF(COUNTIFS('Sessions'!$B$2:$B$21,A108,'Sessions'!$G$2:$G$21,"needs_confirmation")&gt;0,"Uncertain time",IF(E108=0,"No confirmed time","Logged"))))</x:f>
        <x:v>Future</x:v>
      </x:c>
    </x:row>
    <x:row r="109" ht="22" customHeight="1">
      <x:c r="A109" s="7" t="n">
        <x:v>46404</x:v>
      </x:c>
      <x:c r="B109" s="1" t="str">
        <x:v>Sun</x:v>
      </x:c>
      <x:c r="C109" s="7" t="n">
        <x:f>A109-WEEKDAY(A109,2)+1</x:f>
        <x:v>46398</x:v>
      </x:c>
      <x:c r="D109" s="6" t="n">
        <x:f>IF(WEEKDAY(A109,2)&gt;5,$B$7,IF(A109&lt;$B$8,$H$4,$B$6))</x:f>
        <x:v>10</x:v>
      </x:c>
      <x:c r="E109" s="6" t="str">
        <x:f>IF(A109&gt;$B$4,"",SUMIFS('Sessions'!$F$2:$F$21,'Sessions'!$B$2:$B$21,A109,'Sessions'!$G$2:$G$21,"completed")/60)</x:f>
      </x:c>
      <x:c r="F109" s="6" t="str">
        <x:f>IF(A109&gt;=$B$4,"",MAX(D109-E109,0))</x:f>
      </x:c>
      <x:c r="G109" s="6" t="str">
        <x:f>IF(A109&gt;=$B$4,"",MAX(E109-D109,0))</x:f>
      </x:c>
      <x:c r="H109" s="6" t="str">
        <x:f>IF(A109&gt;=$B$4,"",SUM($D$15:D109))</x:f>
      </x:c>
      <x:c r="I109" s="6" t="str">
        <x:f>IF(A109&gt;$B$4,"",SUM($E$15:E109))</x:f>
      </x:c>
      <x:c r="J109" s="1" t="str">
        <x:f>IF(A109&gt;$B$4,"Future",IF(A109=$B$4,"In progress",IF(COUNTIFS('Sessions'!$B$2:$B$21,A109,'Sessions'!$G$2:$G$21,"needs_confirmation")&gt;0,"Uncertain time",IF(E109=0,"No confirmed time","Logged"))))</x:f>
        <x:v>Future</x:v>
      </x:c>
    </x:row>
    <x:row r="110" ht="22" customHeight="1">
      <x:c r="A110" s="7" t="n">
        <x:v>46405</x:v>
      </x:c>
      <x:c r="B110" s="1" t="str">
        <x:v>Mon</x:v>
      </x:c>
      <x:c r="C110" s="7" t="n">
        <x:f>A110-WEEKDAY(A110,2)+1</x:f>
        <x:v>46405</x:v>
      </x:c>
      <x:c r="D110" s="6" t="n">
        <x:f>IF(WEEKDAY(A110,2)&gt;5,$B$7,IF(A110&lt;$B$8,$H$4,$B$6))</x:f>
        <x:v>7</x:v>
      </x:c>
      <x:c r="E110" s="6" t="str">
        <x:f>IF(A110&gt;$B$4,"",SUMIFS('Sessions'!$F$2:$F$21,'Sessions'!$B$2:$B$21,A110,'Sessions'!$G$2:$G$21,"completed")/60)</x:f>
      </x:c>
      <x:c r="F110" s="6" t="str">
        <x:f>IF(A110&gt;=$B$4,"",MAX(D110-E110,0))</x:f>
      </x:c>
      <x:c r="G110" s="6" t="str">
        <x:f>IF(A110&gt;=$B$4,"",MAX(E110-D110,0))</x:f>
      </x:c>
      <x:c r="H110" s="6" t="str">
        <x:f>IF(A110&gt;=$B$4,"",SUM($D$15:D110))</x:f>
      </x:c>
      <x:c r="I110" s="6" t="str">
        <x:f>IF(A110&gt;$B$4,"",SUM($E$15:E110))</x:f>
      </x:c>
      <x:c r="J110" s="1" t="str">
        <x:f>IF(A110&gt;$B$4,"Future",IF(A110=$B$4,"In progress",IF(COUNTIFS('Sessions'!$B$2:$B$21,A110,'Sessions'!$G$2:$G$21,"needs_confirmation")&gt;0,"Uncertain time",IF(E110=0,"No confirmed time","Logged"))))</x:f>
        <x:v>Future</x:v>
      </x:c>
    </x:row>
    <x:row r="111" ht="22" customHeight="1">
      <x:c r="A111" s="7" t="n">
        <x:v>46406</x:v>
      </x:c>
      <x:c r="B111" s="1" t="str">
        <x:v>Tue</x:v>
      </x:c>
      <x:c r="C111" s="7" t="n">
        <x:f>A111-WEEKDAY(A111,2)+1</x:f>
        <x:v>46405</x:v>
      </x:c>
      <x:c r="D111" s="6" t="n">
        <x:f>IF(WEEKDAY(A111,2)&gt;5,$B$7,IF(A111&lt;$B$8,$H$4,$B$6))</x:f>
        <x:v>7</x:v>
      </x:c>
      <x:c r="E111" s="6" t="str">
        <x:f>IF(A111&gt;$B$4,"",SUMIFS('Sessions'!$F$2:$F$21,'Sessions'!$B$2:$B$21,A111,'Sessions'!$G$2:$G$21,"completed")/60)</x:f>
      </x:c>
      <x:c r="F111" s="6" t="str">
        <x:f>IF(A111&gt;=$B$4,"",MAX(D111-E111,0))</x:f>
      </x:c>
      <x:c r="G111" s="6" t="str">
        <x:f>IF(A111&gt;=$B$4,"",MAX(E111-D111,0))</x:f>
      </x:c>
      <x:c r="H111" s="6" t="str">
        <x:f>IF(A111&gt;=$B$4,"",SUM($D$15:D111))</x:f>
      </x:c>
      <x:c r="I111" s="6" t="str">
        <x:f>IF(A111&gt;$B$4,"",SUM($E$15:E111))</x:f>
      </x:c>
      <x:c r="J111" s="1" t="str">
        <x:f>IF(A111&gt;$B$4,"Future",IF(A111=$B$4,"In progress",IF(COUNTIFS('Sessions'!$B$2:$B$21,A111,'Sessions'!$G$2:$G$21,"needs_confirmation")&gt;0,"Uncertain time",IF(E111=0,"No confirmed time","Logged"))))</x:f>
        <x:v>Future</x:v>
      </x:c>
    </x:row>
    <x:row r="112" ht="22" customHeight="1">
      <x:c r="A112" s="7" t="n">
        <x:v>46407</x:v>
      </x:c>
      <x:c r="B112" s="1" t="str">
        <x:v>Wed</x:v>
      </x:c>
      <x:c r="C112" s="7" t="n">
        <x:f>A112-WEEKDAY(A112,2)+1</x:f>
        <x:v>46405</x:v>
      </x:c>
      <x:c r="D112" s="6" t="n">
        <x:f>IF(WEEKDAY(A112,2)&gt;5,$B$7,IF(A112&lt;$B$8,$H$4,$B$6))</x:f>
        <x:v>7</x:v>
      </x:c>
      <x:c r="E112" s="6" t="str">
        <x:f>IF(A112&gt;$B$4,"",SUMIFS('Sessions'!$F$2:$F$21,'Sessions'!$B$2:$B$21,A112,'Sessions'!$G$2:$G$21,"completed")/60)</x:f>
      </x:c>
      <x:c r="F112" s="6" t="str">
        <x:f>IF(A112&gt;=$B$4,"",MAX(D112-E112,0))</x:f>
      </x:c>
      <x:c r="G112" s="6" t="str">
        <x:f>IF(A112&gt;=$B$4,"",MAX(E112-D112,0))</x:f>
      </x:c>
      <x:c r="H112" s="6" t="str">
        <x:f>IF(A112&gt;=$B$4,"",SUM($D$15:D112))</x:f>
      </x:c>
      <x:c r="I112" s="6" t="str">
        <x:f>IF(A112&gt;$B$4,"",SUM($E$15:E112))</x:f>
      </x:c>
      <x:c r="J112" s="1" t="str">
        <x:f>IF(A112&gt;$B$4,"Future",IF(A112=$B$4,"In progress",IF(COUNTIFS('Sessions'!$B$2:$B$21,A112,'Sessions'!$G$2:$G$21,"needs_confirmation")&gt;0,"Uncertain time",IF(E112=0,"No confirmed time","Logged"))))</x:f>
        <x:v>Future</x:v>
      </x:c>
    </x:row>
    <x:row r="113" ht="22" customHeight="1">
      <x:c r="A113" s="7" t="n">
        <x:v>46408</x:v>
      </x:c>
      <x:c r="B113" s="1" t="str">
        <x:v>Thu</x:v>
      </x:c>
      <x:c r="C113" s="7" t="n">
        <x:f>A113-WEEKDAY(A113,2)+1</x:f>
        <x:v>46405</x:v>
      </x:c>
      <x:c r="D113" s="6" t="n">
        <x:f>IF(WEEKDAY(A113,2)&gt;5,$B$7,IF(A113&lt;$B$8,$H$4,$B$6))</x:f>
        <x:v>7</x:v>
      </x:c>
      <x:c r="E113" s="6" t="str">
        <x:f>IF(A113&gt;$B$4,"",SUMIFS('Sessions'!$F$2:$F$21,'Sessions'!$B$2:$B$21,A113,'Sessions'!$G$2:$G$21,"completed")/60)</x:f>
      </x:c>
      <x:c r="F113" s="6" t="str">
        <x:f>IF(A113&gt;=$B$4,"",MAX(D113-E113,0))</x:f>
      </x:c>
      <x:c r="G113" s="6" t="str">
        <x:f>IF(A113&gt;=$B$4,"",MAX(E113-D113,0))</x:f>
      </x:c>
      <x:c r="H113" s="6" t="str">
        <x:f>IF(A113&gt;=$B$4,"",SUM($D$15:D113))</x:f>
      </x:c>
      <x:c r="I113" s="6" t="str">
        <x:f>IF(A113&gt;$B$4,"",SUM($E$15:E113))</x:f>
      </x:c>
      <x:c r="J113" s="1" t="str">
        <x:f>IF(A113&gt;$B$4,"Future",IF(A113=$B$4,"In progress",IF(COUNTIFS('Sessions'!$B$2:$B$21,A113,'Sessions'!$G$2:$G$21,"needs_confirmation")&gt;0,"Uncertain time",IF(E113=0,"No confirmed time","Logged"))))</x:f>
        <x:v>Future</x:v>
      </x:c>
    </x:row>
    <x:row r="114" ht="22" customHeight="1">
      <x:c r="A114" s="7" t="n">
        <x:v>46409</x:v>
      </x:c>
      <x:c r="B114" s="1" t="str">
        <x:v>Fri</x:v>
      </x:c>
      <x:c r="C114" s="7" t="n">
        <x:f>A114-WEEKDAY(A114,2)+1</x:f>
        <x:v>46405</x:v>
      </x:c>
      <x:c r="D114" s="6" t="n">
        <x:f>IF(WEEKDAY(A114,2)&gt;5,$B$7,IF(A114&lt;$B$8,$H$4,$B$6))</x:f>
        <x:v>7</x:v>
      </x:c>
      <x:c r="E114" s="6" t="str">
        <x:f>IF(A114&gt;$B$4,"",SUMIFS('Sessions'!$F$2:$F$21,'Sessions'!$B$2:$B$21,A114,'Sessions'!$G$2:$G$21,"completed")/60)</x:f>
      </x:c>
      <x:c r="F114" s="6" t="str">
        <x:f>IF(A114&gt;=$B$4,"",MAX(D114-E114,0))</x:f>
      </x:c>
      <x:c r="G114" s="6" t="str">
        <x:f>IF(A114&gt;=$B$4,"",MAX(E114-D114,0))</x:f>
      </x:c>
      <x:c r="H114" s="6" t="str">
        <x:f>IF(A114&gt;=$B$4,"",SUM($D$15:D114))</x:f>
      </x:c>
      <x:c r="I114" s="6" t="str">
        <x:f>IF(A114&gt;$B$4,"",SUM($E$15:E114))</x:f>
      </x:c>
      <x:c r="J114" s="1" t="str">
        <x:f>IF(A114&gt;$B$4,"Future",IF(A114=$B$4,"In progress",IF(COUNTIFS('Sessions'!$B$2:$B$21,A114,'Sessions'!$G$2:$G$21,"needs_confirmation")&gt;0,"Uncertain time",IF(E114=0,"No confirmed time","Logged"))))</x:f>
        <x:v>Future</x:v>
      </x:c>
    </x:row>
  </x:sheetData>
  <x:conditionalFormatting sqref="F15:F114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2" ht="22" customHeight="1">
      <x:c r="A2" s="5" t="str">
        <x:v>Study hours: weekly progress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Monday–Sunday: first partial 32 h; transition 52 h; full new weeks 55 h; final preparation partial 35 h.</x:v>
      </x:c>
      <x:c r="B4" s="1"/>
      <x:c r="C4" s="1"/>
      <x:c r="D4" s="1"/>
      <x:c r="E4" s="1"/>
      <x:c r="F4" s="1"/>
      <x:c r="G4" s="1"/>
      <x:c r="H4" s="1"/>
    </x:row>
    <x:row r="5" ht="22" customHeight="1">
      <x:c r="A5" s="1" t="str">
        <x:v>Behind compares confirmed time with targets for closed days only. Remaining includes today and future days.</x:v>
      </x:c>
      <x:c r="B5" s="1"/>
      <x:c r="C5" s="1"/>
      <x:c r="D5" s="1"/>
      <x:c r="E5" s="1"/>
      <x:c r="F5" s="1"/>
      <x:c r="G5" s="1"/>
      <x:c r="H5" s="1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4" t="str">
        <x:v>Week starting</x:v>
      </x:c>
      <x:c r="B7" s="4" t="str">
        <x:v>Weekly target (h)</x:v>
      </x:c>
      <x:c r="C7" s="4" t="str">
        <x:v>Closed-day target</x:v>
      </x:c>
      <x:c r="D7" s="4" t="str">
        <x:v>Confirmed (h)</x:v>
      </x:c>
      <x:c r="E7" s="4" t="str">
        <x:v>Behind closed days</x:v>
      </x:c>
      <x:c r="F7" s="4" t="str">
        <x:v>Ahead closed days</x:v>
      </x:c>
      <x:c r="G7" s="4" t="str">
        <x:v>Remaining to target</x:v>
      </x:c>
      <x:c r="H7" s="4" t="str">
        <x:v>Completion</x:v>
      </x:c>
    </x:row>
    <x:row r="8" ht="22" customHeight="1">
      <x:c r="A8" s="7" t="n">
        <x:v>46307</x:v>
      </x:c>
      <x:c r="B8" s="6" t="n">
        <x:f>SUMIFS('Daily'!$D$15:$D$114,'Daily'!$C$15:$C$114,A8)</x:f>
        <x:v>32</x:v>
      </x:c>
      <x:c r="C8" s="6" t="n">
        <x:f>SUMIFS('Daily'!$D$15:$D$114,'Daily'!$C$15:$C$114,A8,'Daily'!$A$15:$A$114,"&lt;"&amp;'Daily'!$B$4)</x:f>
        <x:v>32</x:v>
      </x:c>
      <x:c r="D8" s="6" t="n">
        <x:f>SUMIFS('Daily'!$E$15:$E$114,'Daily'!$C$15:$C$114,A8)</x:f>
        <x:v>11.151388888889445</x:v>
      </x:c>
      <x:c r="E8" s="6" t="n">
        <x:f>MAX(C8-SUMIFS('Daily'!$E$15:$E$114,'Daily'!$C$15:$C$114,A8,'Daily'!$A$15:$A$114,"&lt;"&amp;'Daily'!$B$4),0)</x:f>
        <x:v>20.848611111110557</x:v>
      </x:c>
      <x:c r="F8" s="6" t="n">
        <x:f>MAX(SUMIFS('Daily'!$E$15:$E$114,'Daily'!$C$15:$C$114,A8,'Daily'!$A$15:$A$114,"&lt;"&amp;'Daily'!$B$4)-C8,0)</x:f>
        <x:v>0</x:v>
      </x:c>
      <x:c r="G8" s="6" t="n">
        <x:f>MAX(B8-D8,0)</x:f>
        <x:v>20.848611111110557</x:v>
      </x:c>
      <x:c r="H8" s="10" t="n">
        <x:f>IF(B8=0,0,D8/B8)</x:f>
        <x:v>0.34848090277779514</x:v>
      </x:c>
    </x:row>
    <x:row r="9" ht="22" customHeight="1">
      <x:c r="A9" s="7" t="n">
        <x:v>46314</x:v>
      </x:c>
      <x:c r="B9" s="6" t="n">
        <x:f>SUMIFS('Daily'!$D$15:$D$114,'Daily'!$C$15:$C$114,A9)</x:f>
        <x:v>52</x:v>
      </x:c>
      <x:c r="C9" s="6" t="n">
        <x:f>SUMIFS('Daily'!$D$15:$D$114,'Daily'!$C$15:$C$114,A9,'Daily'!$A$15:$A$114,"&lt;"&amp;'Daily'!$B$4)</x:f>
        <x:v>18</x:v>
      </x:c>
      <x:c r="D9" s="6" t="n">
        <x:f>SUMIFS('Daily'!$E$15:$E$114,'Daily'!$C$15:$C$114,A9)</x:f>
        <x:v>0</x:v>
      </x:c>
      <x:c r="E9" s="6" t="n">
        <x:f>MAX(C9-SUMIFS('Daily'!$E$15:$E$114,'Daily'!$C$15:$C$114,A9,'Daily'!$A$15:$A$114,"&lt;"&amp;'Daily'!$B$4),0)</x:f>
        <x:v>18</x:v>
      </x:c>
      <x:c r="F9" s="6" t="n">
        <x:f>MAX(SUMIFS('Daily'!$E$15:$E$114,'Daily'!$C$15:$C$114,A9,'Daily'!$A$15:$A$114,"&lt;"&amp;'Daily'!$B$4)-C9,0)</x:f>
        <x:v>0</x:v>
      </x:c>
      <x:c r="G9" s="6" t="n">
        <x:f>MAX(B9-D9,0)</x:f>
        <x:v>52</x:v>
      </x:c>
      <x:c r="H9" s="10" t="n">
        <x:f>IF(B9=0,0,D9/B9)</x:f>
        <x:v>0</x:v>
      </x:c>
    </x:row>
    <x:row r="10" ht="22" customHeight="1">
      <x:c r="A10" s="7" t="n">
        <x:v>46321</x:v>
      </x:c>
      <x:c r="B10" s="6" t="n">
        <x:f>SUMIFS('Daily'!$D$15:$D$114,'Daily'!$C$15:$C$114,A10)</x:f>
        <x:v>55</x:v>
      </x:c>
      <x:c r="C10" s="6" t="n">
        <x:f>SUMIFS('Daily'!$D$15:$D$114,'Daily'!$C$15:$C$114,A10,'Daily'!$A$15:$A$114,"&lt;"&amp;'Daily'!$B$4)</x:f>
        <x:v>0</x:v>
      </x:c>
      <x:c r="D10" s="6" t="n">
        <x:f>SUMIFS('Daily'!$E$15:$E$114,'Daily'!$C$15:$C$114,A10)</x:f>
        <x:v>0</x:v>
      </x:c>
      <x:c r="E10" s="6" t="n">
        <x:f>MAX(C10-SUMIFS('Daily'!$E$15:$E$114,'Daily'!$C$15:$C$114,A10,'Daily'!$A$15:$A$114,"&lt;"&amp;'Daily'!$B$4),0)</x:f>
        <x:v>0</x:v>
      </x:c>
      <x:c r="F10" s="6" t="n">
        <x:f>MAX(SUMIFS('Daily'!$E$15:$E$114,'Daily'!$C$15:$C$114,A10,'Daily'!$A$15:$A$114,"&lt;"&amp;'Daily'!$B$4)-C10,0)</x:f>
        <x:v>0</x:v>
      </x:c>
      <x:c r="G10" s="6" t="n">
        <x:f>MAX(B10-D10,0)</x:f>
        <x:v>55</x:v>
      </x:c>
      <x:c r="H10" s="10" t="n">
        <x:f>IF(B10=0,0,D10/B10)</x:f>
        <x:v>0</x:v>
      </x:c>
    </x:row>
    <x:row r="11" ht="22" customHeight="1">
      <x:c r="A11" s="7" t="n">
        <x:v>46328</x:v>
      </x:c>
      <x:c r="B11" s="6" t="n">
        <x:f>SUMIFS('Daily'!$D$15:$D$114,'Daily'!$C$15:$C$114,A11)</x:f>
        <x:v>55</x:v>
      </x:c>
      <x:c r="C11" s="6" t="n">
        <x:f>SUMIFS('Daily'!$D$15:$D$114,'Daily'!$C$15:$C$114,A11,'Daily'!$A$15:$A$114,"&lt;"&amp;'Daily'!$B$4)</x:f>
        <x:v>0</x:v>
      </x:c>
      <x:c r="D11" s="6" t="n">
        <x:f>SUMIFS('Daily'!$E$15:$E$114,'Daily'!$C$15:$C$114,A11)</x:f>
        <x:v>0</x:v>
      </x:c>
      <x:c r="E11" s="6" t="n">
        <x:f>MAX(C11-SUMIFS('Daily'!$E$15:$E$114,'Daily'!$C$15:$C$114,A11,'Daily'!$A$15:$A$114,"&lt;"&amp;'Daily'!$B$4),0)</x:f>
        <x:v>0</x:v>
      </x:c>
      <x:c r="F11" s="6" t="n">
        <x:f>MAX(SUMIFS('Daily'!$E$15:$E$114,'Daily'!$C$15:$C$114,A11,'Daily'!$A$15:$A$114,"&lt;"&amp;'Daily'!$B$4)-C11,0)</x:f>
        <x:v>0</x:v>
      </x:c>
      <x:c r="G11" s="6" t="n">
        <x:f>MAX(B11-D11,0)</x:f>
        <x:v>55</x:v>
      </x:c>
      <x:c r="H11" s="10" t="n">
        <x:f>IF(B11=0,0,D11/B11)</x:f>
        <x:v>0</x:v>
      </x:c>
    </x:row>
    <x:row r="12" ht="22" customHeight="1">
      <x:c r="A12" s="7" t="n">
        <x:v>46335</x:v>
      </x:c>
      <x:c r="B12" s="6" t="n">
        <x:f>SUMIFS('Daily'!$D$15:$D$114,'Daily'!$C$15:$C$114,A12)</x:f>
        <x:v>55</x:v>
      </x:c>
      <x:c r="C12" s="6" t="n">
        <x:f>SUMIFS('Daily'!$D$15:$D$114,'Daily'!$C$15:$C$114,A12,'Daily'!$A$15:$A$114,"&lt;"&amp;'Daily'!$B$4)</x:f>
        <x:v>0</x:v>
      </x:c>
      <x:c r="D12" s="6" t="n">
        <x:f>SUMIFS('Daily'!$E$15:$E$114,'Daily'!$C$15:$C$114,A12)</x:f>
        <x:v>0</x:v>
      </x:c>
      <x:c r="E12" s="6" t="n">
        <x:f>MAX(C12-SUMIFS('Daily'!$E$15:$E$114,'Daily'!$C$15:$C$114,A12,'Daily'!$A$15:$A$114,"&lt;"&amp;'Daily'!$B$4),0)</x:f>
        <x:v>0</x:v>
      </x:c>
      <x:c r="F12" s="6" t="n">
        <x:f>MAX(SUMIFS('Daily'!$E$15:$E$114,'Daily'!$C$15:$C$114,A12,'Daily'!$A$15:$A$114,"&lt;"&amp;'Daily'!$B$4)-C12,0)</x:f>
        <x:v>0</x:v>
      </x:c>
      <x:c r="G12" s="6" t="n">
        <x:f>MAX(B12-D12,0)</x:f>
        <x:v>55</x:v>
      </x:c>
      <x:c r="H12" s="10" t="n">
        <x:f>IF(B12=0,0,D12/B12)</x:f>
        <x:v>0</x:v>
      </x:c>
    </x:row>
    <x:row r="13" ht="22" customHeight="1">
      <x:c r="A13" s="7" t="n">
        <x:v>46342</x:v>
      </x:c>
      <x:c r="B13" s="6" t="n">
        <x:f>SUMIFS('Daily'!$D$15:$D$114,'Daily'!$C$15:$C$114,A13)</x:f>
        <x:v>55</x:v>
      </x:c>
      <x:c r="C13" s="6" t="n">
        <x:f>SUMIFS('Daily'!$D$15:$D$114,'Daily'!$C$15:$C$114,A13,'Daily'!$A$15:$A$114,"&lt;"&amp;'Daily'!$B$4)</x:f>
        <x:v>0</x:v>
      </x:c>
      <x:c r="D13" s="6" t="n">
        <x:f>SUMIFS('Daily'!$E$15:$E$114,'Daily'!$C$15:$C$114,A13)</x:f>
        <x:v>0</x:v>
      </x:c>
      <x:c r="E13" s="6" t="n">
        <x:f>MAX(C13-SUMIFS('Daily'!$E$15:$E$114,'Daily'!$C$15:$C$114,A13,'Daily'!$A$15:$A$114,"&lt;"&amp;'Daily'!$B$4),0)</x:f>
        <x:v>0</x:v>
      </x:c>
      <x:c r="F13" s="6" t="n">
        <x:f>MAX(SUMIFS('Daily'!$E$15:$E$114,'Daily'!$C$15:$C$114,A13,'Daily'!$A$15:$A$114,"&lt;"&amp;'Daily'!$B$4)-C13,0)</x:f>
        <x:v>0</x:v>
      </x:c>
      <x:c r="G13" s="6" t="n">
        <x:f>MAX(B13-D13,0)</x:f>
        <x:v>55</x:v>
      </x:c>
      <x:c r="H13" s="10" t="n">
        <x:f>IF(B13=0,0,D13/B13)</x:f>
        <x:v>0</x:v>
      </x:c>
    </x:row>
    <x:row r="14" ht="22" customHeight="1">
      <x:c r="A14" s="7" t="n">
        <x:v>46349</x:v>
      </x:c>
      <x:c r="B14" s="6" t="n">
        <x:f>SUMIFS('Daily'!$D$15:$D$114,'Daily'!$C$15:$C$114,A14)</x:f>
        <x:v>55</x:v>
      </x:c>
      <x:c r="C14" s="6" t="n">
        <x:f>SUMIFS('Daily'!$D$15:$D$114,'Daily'!$C$15:$C$114,A14,'Daily'!$A$15:$A$114,"&lt;"&amp;'Daily'!$B$4)</x:f>
        <x:v>0</x:v>
      </x:c>
      <x:c r="D14" s="6" t="n">
        <x:f>SUMIFS('Daily'!$E$15:$E$114,'Daily'!$C$15:$C$114,A14)</x:f>
        <x:v>0</x:v>
      </x:c>
      <x:c r="E14" s="6" t="n">
        <x:f>MAX(C14-SUMIFS('Daily'!$E$15:$E$114,'Daily'!$C$15:$C$114,A14,'Daily'!$A$15:$A$114,"&lt;"&amp;'Daily'!$B$4),0)</x:f>
        <x:v>0</x:v>
      </x:c>
      <x:c r="F14" s="6" t="n">
        <x:f>MAX(SUMIFS('Daily'!$E$15:$E$114,'Daily'!$C$15:$C$114,A14,'Daily'!$A$15:$A$114,"&lt;"&amp;'Daily'!$B$4)-C14,0)</x:f>
        <x:v>0</x:v>
      </x:c>
      <x:c r="G14" s="6" t="n">
        <x:f>MAX(B14-D14,0)</x:f>
        <x:v>55</x:v>
      </x:c>
      <x:c r="H14" s="10" t="n">
        <x:f>IF(B14=0,0,D14/B14)</x:f>
        <x:v>0</x:v>
      </x:c>
    </x:row>
    <x:row r="15" ht="22" customHeight="1">
      <x:c r="A15" s="7" t="n">
        <x:v>46356</x:v>
      </x:c>
      <x:c r="B15" s="6" t="n">
        <x:f>SUMIFS('Daily'!$D$15:$D$114,'Daily'!$C$15:$C$114,A15)</x:f>
        <x:v>55</x:v>
      </x:c>
      <x:c r="C15" s="6" t="n">
        <x:f>SUMIFS('Daily'!$D$15:$D$114,'Daily'!$C$15:$C$114,A15,'Daily'!$A$15:$A$114,"&lt;"&amp;'Daily'!$B$4)</x:f>
        <x:v>0</x:v>
      </x:c>
      <x:c r="D15" s="6" t="n">
        <x:f>SUMIFS('Daily'!$E$15:$E$114,'Daily'!$C$15:$C$114,A15)</x:f>
        <x:v>0</x:v>
      </x:c>
      <x:c r="E15" s="6" t="n">
        <x:f>MAX(C15-SUMIFS('Daily'!$E$15:$E$114,'Daily'!$C$15:$C$114,A15,'Daily'!$A$15:$A$114,"&lt;"&amp;'Daily'!$B$4),0)</x:f>
        <x:v>0</x:v>
      </x:c>
      <x:c r="F15" s="6" t="n">
        <x:f>MAX(SUMIFS('Daily'!$E$15:$E$114,'Daily'!$C$15:$C$114,A15,'Daily'!$A$15:$A$114,"&lt;"&amp;'Daily'!$B$4)-C15,0)</x:f>
        <x:v>0</x:v>
      </x:c>
      <x:c r="G15" s="6" t="n">
        <x:f>MAX(B15-D15,0)</x:f>
        <x:v>55</x:v>
      </x:c>
      <x:c r="H15" s="10" t="n">
        <x:f>IF(B15=0,0,D15/B15)</x:f>
        <x:v>0</x:v>
      </x:c>
    </x:row>
    <x:row r="16" ht="22" customHeight="1">
      <x:c r="A16" s="7" t="n">
        <x:v>46363</x:v>
      </x:c>
      <x:c r="B16" s="6" t="n">
        <x:f>SUMIFS('Daily'!$D$15:$D$114,'Daily'!$C$15:$C$114,A16)</x:f>
        <x:v>55</x:v>
      </x:c>
      <x:c r="C16" s="6" t="n">
        <x:f>SUMIFS('Daily'!$D$15:$D$114,'Daily'!$C$15:$C$114,A16,'Daily'!$A$15:$A$114,"&lt;"&amp;'Daily'!$B$4)</x:f>
        <x:v>0</x:v>
      </x:c>
      <x:c r="D16" s="6" t="n">
        <x:f>SUMIFS('Daily'!$E$15:$E$114,'Daily'!$C$15:$C$114,A16)</x:f>
        <x:v>0</x:v>
      </x:c>
      <x:c r="E16" s="6" t="n">
        <x:f>MAX(C16-SUMIFS('Daily'!$E$15:$E$114,'Daily'!$C$15:$C$114,A16,'Daily'!$A$15:$A$114,"&lt;"&amp;'Daily'!$B$4),0)</x:f>
        <x:v>0</x:v>
      </x:c>
      <x:c r="F16" s="6" t="n">
        <x:f>MAX(SUMIFS('Daily'!$E$15:$E$114,'Daily'!$C$15:$C$114,A16,'Daily'!$A$15:$A$114,"&lt;"&amp;'Daily'!$B$4)-C16,0)</x:f>
        <x:v>0</x:v>
      </x:c>
      <x:c r="G16" s="6" t="n">
        <x:f>MAX(B16-D16,0)</x:f>
        <x:v>55</x:v>
      </x:c>
      <x:c r="H16" s="10" t="n">
        <x:f>IF(B16=0,0,D16/B16)</x:f>
        <x:v>0</x:v>
      </x:c>
    </x:row>
    <x:row r="17" ht="22" customHeight="1">
      <x:c r="A17" s="7" t="n">
        <x:v>46370</x:v>
      </x:c>
      <x:c r="B17" s="6" t="n">
        <x:f>SUMIFS('Daily'!$D$15:$D$114,'Daily'!$C$15:$C$114,A17)</x:f>
        <x:v>55</x:v>
      </x:c>
      <x:c r="C17" s="6" t="n">
        <x:f>SUMIFS('Daily'!$D$15:$D$114,'Daily'!$C$15:$C$114,A17,'Daily'!$A$15:$A$114,"&lt;"&amp;'Daily'!$B$4)</x:f>
        <x:v>0</x:v>
      </x:c>
      <x:c r="D17" s="6" t="n">
        <x:f>SUMIFS('Daily'!$E$15:$E$114,'Daily'!$C$15:$C$114,A17)</x:f>
        <x:v>0</x:v>
      </x:c>
      <x:c r="E17" s="6" t="n">
        <x:f>MAX(C17-SUMIFS('Daily'!$E$15:$E$114,'Daily'!$C$15:$C$114,A17,'Daily'!$A$15:$A$114,"&lt;"&amp;'Daily'!$B$4),0)</x:f>
        <x:v>0</x:v>
      </x:c>
      <x:c r="F17" s="6" t="n">
        <x:f>MAX(SUMIFS('Daily'!$E$15:$E$114,'Daily'!$C$15:$C$114,A17,'Daily'!$A$15:$A$114,"&lt;"&amp;'Daily'!$B$4)-C17,0)</x:f>
        <x:v>0</x:v>
      </x:c>
      <x:c r="G17" s="6" t="n">
        <x:f>MAX(B17-D17,0)</x:f>
        <x:v>55</x:v>
      </x:c>
      <x:c r="H17" s="10" t="n">
        <x:f>IF(B17=0,0,D17/B17)</x:f>
        <x:v>0</x:v>
      </x:c>
    </x:row>
    <x:row r="18" ht="22" customHeight="1">
      <x:c r="A18" s="7" t="n">
        <x:v>46377</x:v>
      </x:c>
      <x:c r="B18" s="6" t="n">
        <x:f>SUMIFS('Daily'!$D$15:$D$114,'Daily'!$C$15:$C$114,A18)</x:f>
        <x:v>55</x:v>
      </x:c>
      <x:c r="C18" s="6" t="n">
        <x:f>SUMIFS('Daily'!$D$15:$D$114,'Daily'!$C$15:$C$114,A18,'Daily'!$A$15:$A$114,"&lt;"&amp;'Daily'!$B$4)</x:f>
        <x:v>0</x:v>
      </x:c>
      <x:c r="D18" s="6" t="n">
        <x:f>SUMIFS('Daily'!$E$15:$E$114,'Daily'!$C$15:$C$114,A18)</x:f>
        <x:v>0</x:v>
      </x:c>
      <x:c r="E18" s="6" t="n">
        <x:f>MAX(C18-SUMIFS('Daily'!$E$15:$E$114,'Daily'!$C$15:$C$114,A18,'Daily'!$A$15:$A$114,"&lt;"&amp;'Daily'!$B$4),0)</x:f>
        <x:v>0</x:v>
      </x:c>
      <x:c r="F18" s="6" t="n">
        <x:f>MAX(SUMIFS('Daily'!$E$15:$E$114,'Daily'!$C$15:$C$114,A18,'Daily'!$A$15:$A$114,"&lt;"&amp;'Daily'!$B$4)-C18,0)</x:f>
        <x:v>0</x:v>
      </x:c>
      <x:c r="G18" s="6" t="n">
        <x:f>MAX(B18-D18,0)</x:f>
        <x:v>55</x:v>
      </x:c>
      <x:c r="H18" s="10" t="n">
        <x:f>IF(B18=0,0,D18/B18)</x:f>
        <x:v>0</x:v>
      </x:c>
    </x:row>
    <x:row r="19" ht="22" customHeight="1">
      <x:c r="A19" s="7" t="n">
        <x:v>46384</x:v>
      </x:c>
      <x:c r="B19" s="6" t="n">
        <x:f>SUMIFS('Daily'!$D$15:$D$114,'Daily'!$C$15:$C$114,A19)</x:f>
        <x:v>55</x:v>
      </x:c>
      <x:c r="C19" s="6" t="n">
        <x:f>SUMIFS('Daily'!$D$15:$D$114,'Daily'!$C$15:$C$114,A19,'Daily'!$A$15:$A$114,"&lt;"&amp;'Daily'!$B$4)</x:f>
        <x:v>0</x:v>
      </x:c>
      <x:c r="D19" s="6" t="n">
        <x:f>SUMIFS('Daily'!$E$15:$E$114,'Daily'!$C$15:$C$114,A19)</x:f>
        <x:v>0</x:v>
      </x:c>
      <x:c r="E19" s="6" t="n">
        <x:f>MAX(C19-SUMIFS('Daily'!$E$15:$E$114,'Daily'!$C$15:$C$114,A19,'Daily'!$A$15:$A$114,"&lt;"&amp;'Daily'!$B$4),0)</x:f>
        <x:v>0</x:v>
      </x:c>
      <x:c r="F19" s="6" t="n">
        <x:f>MAX(SUMIFS('Daily'!$E$15:$E$114,'Daily'!$C$15:$C$114,A19,'Daily'!$A$15:$A$114,"&lt;"&amp;'Daily'!$B$4)-C19,0)</x:f>
        <x:v>0</x:v>
      </x:c>
      <x:c r="G19" s="6" t="n">
        <x:f>MAX(B19-D19,0)</x:f>
        <x:v>55</x:v>
      </x:c>
      <x:c r="H19" s="10" t="n">
        <x:f>IF(B19=0,0,D19/B19)</x:f>
        <x:v>0</x:v>
      </x:c>
    </x:row>
    <x:row r="20" ht="22" customHeight="1">
      <x:c r="A20" s="7" t="n">
        <x:v>46391</x:v>
      </x:c>
      <x:c r="B20" s="6" t="n">
        <x:f>SUMIFS('Daily'!$D$15:$D$114,'Daily'!$C$15:$C$114,A20)</x:f>
        <x:v>55</x:v>
      </x:c>
      <x:c r="C20" s="6" t="n">
        <x:f>SUMIFS('Daily'!$D$15:$D$114,'Daily'!$C$15:$C$114,A20,'Daily'!$A$15:$A$114,"&lt;"&amp;'Daily'!$B$4)</x:f>
        <x:v>0</x:v>
      </x:c>
      <x:c r="D20" s="6" t="n">
        <x:f>SUMIFS('Daily'!$E$15:$E$114,'Daily'!$C$15:$C$114,A20)</x:f>
        <x:v>0</x:v>
      </x:c>
      <x:c r="E20" s="6" t="n">
        <x:f>MAX(C20-SUMIFS('Daily'!$E$15:$E$114,'Daily'!$C$15:$C$114,A20,'Daily'!$A$15:$A$114,"&lt;"&amp;'Daily'!$B$4),0)</x:f>
        <x:v>0</x:v>
      </x:c>
      <x:c r="F20" s="6" t="n">
        <x:f>MAX(SUMIFS('Daily'!$E$15:$E$114,'Daily'!$C$15:$C$114,A20,'Daily'!$A$15:$A$114,"&lt;"&amp;'Daily'!$B$4)-C20,0)</x:f>
        <x:v>0</x:v>
      </x:c>
      <x:c r="G20" s="6" t="n">
        <x:f>MAX(B20-D20,0)</x:f>
        <x:v>55</x:v>
      </x:c>
      <x:c r="H20" s="10" t="n">
        <x:f>IF(B20=0,0,D20/B20)</x:f>
        <x:v>0</x:v>
      </x:c>
    </x:row>
    <x:row r="21" ht="22" customHeight="1">
      <x:c r="A21" s="7" t="n">
        <x:v>46398</x:v>
      </x:c>
      <x:c r="B21" s="6" t="n">
        <x:f>SUMIFS('Daily'!$D$15:$D$114,'Daily'!$C$15:$C$114,A21)</x:f>
        <x:v>55</x:v>
      </x:c>
      <x:c r="C21" s="6" t="n">
        <x:f>SUMIFS('Daily'!$D$15:$D$114,'Daily'!$C$15:$C$114,A21,'Daily'!$A$15:$A$114,"&lt;"&amp;'Daily'!$B$4)</x:f>
        <x:v>0</x:v>
      </x:c>
      <x:c r="D21" s="6" t="n">
        <x:f>SUMIFS('Daily'!$E$15:$E$114,'Daily'!$C$15:$C$114,A21)</x:f>
        <x:v>0</x:v>
      </x:c>
      <x:c r="E21" s="6" t="n">
        <x:f>MAX(C21-SUMIFS('Daily'!$E$15:$E$114,'Daily'!$C$15:$C$114,A21,'Daily'!$A$15:$A$114,"&lt;"&amp;'Daily'!$B$4),0)</x:f>
        <x:v>0</x:v>
      </x:c>
      <x:c r="F21" s="6" t="n">
        <x:f>MAX(SUMIFS('Daily'!$E$15:$E$114,'Daily'!$C$15:$C$114,A21,'Daily'!$A$15:$A$114,"&lt;"&amp;'Daily'!$B$4)-C21,0)</x:f>
        <x:v>0</x:v>
      </x:c>
      <x:c r="G21" s="6" t="n">
        <x:f>MAX(B21-D21,0)</x:f>
        <x:v>55</x:v>
      </x:c>
      <x:c r="H21" s="10" t="n">
        <x:f>IF(B21=0,0,D21/B21)</x:f>
        <x:v>0</x:v>
      </x:c>
    </x:row>
    <x:row r="22" ht="22" customHeight="1">
      <x:c r="A22" s="7" t="n">
        <x:v>46405</x:v>
      </x:c>
      <x:c r="B22" s="6" t="n">
        <x:f>SUMIFS('Daily'!$D$15:$D$114,'Daily'!$C$15:$C$114,A22)</x:f>
        <x:v>35</x:v>
      </x:c>
      <x:c r="C22" s="6" t="n">
        <x:f>SUMIFS('Daily'!$D$15:$D$114,'Daily'!$C$15:$C$114,A22,'Daily'!$A$15:$A$114,"&lt;"&amp;'Daily'!$B$4)</x:f>
        <x:v>0</x:v>
      </x:c>
      <x:c r="D22" s="6" t="n">
        <x:f>SUMIFS('Daily'!$E$15:$E$114,'Daily'!$C$15:$C$114,A22)</x:f>
        <x:v>0</x:v>
      </x:c>
      <x:c r="E22" s="6" t="n">
        <x:f>MAX(C22-SUMIFS('Daily'!$E$15:$E$114,'Daily'!$C$15:$C$114,A22,'Daily'!$A$15:$A$114,"&lt;"&amp;'Daily'!$B$4),0)</x:f>
        <x:v>0</x:v>
      </x:c>
      <x:c r="F22" s="6" t="n">
        <x:f>MAX(SUMIFS('Daily'!$E$15:$E$114,'Daily'!$C$15:$C$114,A22,'Daily'!$A$15:$A$114,"&lt;"&amp;'Daily'!$B$4)-C22,0)</x:f>
        <x:v>0</x:v>
      </x:c>
      <x:c r="G22" s="6" t="n">
        <x:f>MAX(B22-D22,0)</x:f>
        <x:v>35</x:v>
      </x:c>
      <x:c r="H22" s="10" t="n">
        <x:f>IF(B22=0,0,D22/B22)</x:f>
        <x:v>0</x:v>
      </x:c>
    </x:row>
  </x:sheetData>
  <x:conditionalFormatting sqref="E8:E22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33" hidden="0" customWidth="1"/>
    <x:col min="4" max="4" width="32" hidden="0" customWidth="1"/>
    <x:col min="5" max="5" width="32" hidden="0" customWidth="1"/>
    <x:col min="6" max="6" width="19" hidden="0" customWidth="1"/>
    <x:col min="7" max="7" width="25" hidden="0" customWidth="1"/>
    <x:col min="8" max="8" width="90" hidden="0" customWidth="1"/>
  </x:cols>
  <x:sheetData>
    <x:row r="1" ht="34" customHeight="1">
      <x:c r="A1" s="4" t="str">
        <x:v>session_id</x:v>
      </x:c>
      <x:c r="B1" s="4" t="str">
        <x:v>study_date_ist</x:v>
      </x:c>
      <x:c r="C1" s="4" t="str">
        <x:v>topic</x:v>
      </x:c>
      <x:c r="D1" s="4" t="str">
        <x:v>start_time_ist</x:v>
      </x:c>
      <x:c r="E1" s="4" t="str">
        <x:v>end_time_ist</x:v>
      </x:c>
      <x:c r="F1" s="4" t="str">
        <x:v>elapsed_minutes</x:v>
      </x:c>
      <x:c r="G1" s="4" t="str">
        <x:v>status</x:v>
      </x:c>
      <x:c r="H1" s="4" t="str">
        <x:v>notes</x:v>
      </x:c>
    </x:row>
    <x:row r="2" ht="22" customHeight="1">
      <x:c r="A2" s="1" t="str">
        <x:v>SQL-20261015T081120</x:v>
      </x:c>
      <x:c r="B2" s="7" t="n">
        <x:v>46310</x:v>
      </x:c>
      <x:c r="C2" s="1" t="str">
        <x:v>SQL: LEFT JOIN and unmatched rows</x:v>
      </x:c>
      <x:c r="D2" s="1" t="str">
        <x:v>IST 2026-10-15 08:11:20</x:v>
      </x:c>
      <x:c r="E2" s="1" t="str"/>
      <x:c r="F2" s="1"/>
      <x:c r="G2" s="1" t="str">
        <x:v>needs_confirmation</x:v>
      </x:c>
      <x:c r="H2" s="1" t="str">
        <x:v>Learner explicitly said lets start; initial lesson and prediction task; Migrated during platform setup; actual stop time needed; no duration assumed</x:v>
      </x:c>
    </x:row>
    <x:row r="3" ht="22" customHeight="1">
      <x:c r="A3" s="1" t="str">
        <x:v>SQL-20261015T093101</x:v>
      </x:c>
      <x:c r="B3" s="7" t="n">
        <x:v>46310</x:v>
      </x:c>
      <x:c r="C3" s="1" t="str">
        <x:v>SQL: LEFT JOIN and unmatched rows</x:v>
      </x:c>
      <x:c r="D3" s="1" t="str">
        <x:v>IST 2026-10-15 09:31:01</x:v>
      </x:c>
      <x:c r="E3" s="1" t="str">
        <x:v>IST 2026-10-15 09:32:05</x:v>
      </x:c>
      <x:c r="F3" s="1" t="n">
        <x:v>1.0666666667</x:v>
      </x:c>
      <x:c r="G3" s="1" t="str">
        <x:v>completed</x:v>
      </x:c>
      <x:c r="H3" s="1" t="str">
        <x:v>Explicit start and pause; clock timestamps; 1 minute 4 seconds; prediction not answered; earlier uncertain interval excluded</x:v>
      </x:c>
    </x:row>
    <x:row r="4" ht="22" customHeight="1">
      <x:c r="A4" s="1" t="str">
        <x:v>SQL-20261015T100201</x:v>
      </x:c>
      <x:c r="B4" s="7" t="n">
        <x:v>46310</x:v>
      </x:c>
      <x:c r="C4" s="1" t="str">
        <x:v>SQL: LEFT JOIN and unmatched rows</x:v>
      </x:c>
      <x:c r="D4" s="1" t="str">
        <x:v>IST 2026-10-15 10:02:01</x:v>
      </x:c>
      <x:c r="E4" s="1" t="str">
        <x:v>IST 2026-10-15 10:21:23</x:v>
      </x:c>
      <x:c r="F4" s="1" t="n">
        <x:v>19.3666666667</x:v>
      </x:c>
      <x:c r="G4" s="1" t="str">
        <x:v>completed</x:v>
      </x:c>
      <x:c r="H4" s="1" t="str">
        <x:v>Explicit start and puase interpreted as pause; clock timestamps; 19 minutes 22 seconds; SQL attempts preserved; actual PostgreSQL output pending</x:v>
      </x:c>
    </x:row>
    <x:row r="5" ht="22" customHeight="1">
      <x:c r="A5" s="1" t="str">
        <x:v>SQL-20261015T103328</x:v>
      </x:c>
      <x:c r="B5" s="7" t="n">
        <x:v>46310</x:v>
      </x:c>
      <x:c r="C5" s="1" t="str">
        <x:v>SQL: joins counting grouping and SUM setup</x:v>
      </x:c>
      <x:c r="D5" s="1" t="str">
        <x:v>IST 2026-10-15 10:33:28</x:v>
      </x:c>
      <x:c r="E5" s="1" t="str">
        <x:v>IST 2026-10-15 11:43:58</x:v>
      </x:c>
      <x:c r="F5" s="1" t="n">
        <x:v>70.5</x:v>
      </x:c>
      <x:c r="G5" s="1" t="str">
        <x:v>completed</x:v>
      </x:c>
      <x:c r="H5" s="1" t="str">
        <x:v>Explicit pause sql and start python; clock timestamp; SQL-003 setup remains pending</x:v>
      </x:c>
    </x:row>
    <x:row r="6" ht="22" customHeight="1">
      <x:c r="A6" s="1" t="str">
        <x:v>PY-20261015T114358</x:v>
      </x:c>
      <x:c r="B6" s="7" t="n">
        <x:v>46310</x:v>
      </x:c>
      <x:c r="C6" s="1" t="str">
        <x:v>Python: dictionary records baseline</x:v>
      </x:c>
      <x:c r="D6" s="1" t="str">
        <x:v>IST 2026-10-15 11:43:58</x:v>
      </x:c>
      <x:c r="E6" s="1" t="str">
        <x:v>IST 2026-10-15 11:56:38</x:v>
      </x:c>
      <x:c r="F6" s="1" t="n">
        <x:v>12.6666666667</x:v>
      </x:c>
      <x:c r="G6" s="1" t="str">
        <x:v>completed</x:v>
      </x:c>
      <x:c r="H6" s="1" t="str">
        <x:v>Explicit pause; clock timestamps; 12 minutes 40 seconds; partial local attempt preserved and not yet reviewed</x:v>
      </x:c>
    </x:row>
    <x:row r="7" ht="22" customHeight="1">
      <x:c r="A7" s="1" t="str">
        <x:v>PY-20261015T121152</x:v>
      </x:c>
      <x:c r="B7" s="7" t="n">
        <x:v>46310</x:v>
      </x:c>
      <x:c r="C7" s="1" t="str">
        <x:v>Python: record cleaning</x:v>
      </x:c>
      <x:c r="D7" s="1" t="str">
        <x:v>IST 2026-10-15 12:11:52</x:v>
      </x:c>
      <x:c r="E7" s="1" t="str">
        <x:v>IST 2026-10-15 12:18:28</x:v>
      </x:c>
      <x:c r="F7" s="1" t="n">
        <x:v>6.6</x:v>
      </x:c>
      <x:c r="G7" s="1" t="str">
        <x:v>completed</x:v>
      </x:c>
      <x:c r="H7" s="1" t="str">
        <x:v>Explicit pause; clock timestamps; 6 minutes 36 seconds; review hints and revised draft saved at boundary</x:v>
      </x:c>
    </x:row>
    <x:row r="8" ht="22" customHeight="1">
      <x:c r="A8" s="1" t="str">
        <x:v>PY-20261015T124142</x:v>
      </x:c>
      <x:c r="B8" s="7" t="n">
        <x:v>46310</x:v>
      </x:c>
      <x:c r="C8" s="1" t="str">
        <x:v>Python: record cleaning</x:v>
      </x:c>
      <x:c r="D8" s="1" t="str">
        <x:v>IST 2026-10-15 12:41:42</x:v>
      </x:c>
      <x:c r="E8" s="1" t="str">
        <x:v>IST 2026-10-15 12:48:53</x:v>
      </x:c>
      <x:c r="F8" s="1" t="n">
        <x:v>7.1833333333</x:v>
      </x:c>
      <x:c r="G8" s="1" t="str">
        <x:v>completed</x:v>
      </x:c>
      <x:c r="H8" s="1" t="str">
        <x:v>Explicit pause at first request; clock timestamp; 7 minutes 11 seconds; learner requested dictionary foundations; repeated pause does not extend interval</x:v>
      </x:c>
    </x:row>
    <x:row r="9" ht="22" customHeight="1">
      <x:c r="A9" s="1" t="str">
        <x:v>PY-20261015T134259</x:v>
      </x:c>
      <x:c r="B9" s="7" t="n">
        <x:v>46310</x:v>
      </x:c>
      <x:c r="C9" s="1" t="str">
        <x:v>Python: dictionary foundations in Jupyter</x:v>
      </x:c>
      <x:c r="D9" s="1" t="str">
        <x:v>IST 2026-10-15 13:42:59</x:v>
      </x:c>
      <x:c r="E9" s="1" t="str">
        <x:v>IST 2026-10-15 13:48:32</x:v>
      </x:c>
      <x:c r="F9" s="1" t="n">
        <x:v>5.55</x:v>
      </x:c>
      <x:c r="G9" s="1" t="str">
        <x:v>completed</x:v>
      </x:c>
      <x:c r="H9" s="1" t="str">
        <x:v>Explicit resume and pause; clock timestamps; 5 minutes 33 seconds; no notebook attempt or output submitted</x:v>
      </x:c>
    </x:row>
    <x:row r="10" ht="22" customHeight="1">
      <x:c r="A10" s="1" t="str">
        <x:v>PY-20261015T141407</x:v>
      </x:c>
      <x:c r="B10" s="7" t="n">
        <x:v>46310</x:v>
      </x:c>
      <x:c r="C10" s="1" t="str">
        <x:v>Python: dictionary foundations in Jupyter</x:v>
      </x:c>
      <x:c r="D10" s="1" t="str">
        <x:v>IST 2026-10-15 14:14:07</x:v>
      </x:c>
      <x:c r="E10" s="1" t="str">
        <x:v>IST 2026-10-15 14:59:45</x:v>
      </x:c>
      <x:c r="F10" s="1" t="n">
        <x:v>45.6333333333</x:v>
      </x:c>
      <x:c r="G10" s="1" t="str">
        <x:v>completed</x:v>
      </x:c>
      <x:c r="H10" s="1" t="str">
        <x:v>Explicit resume and pause; clock timestamps; 45 minutes 38 seconds; no notebook code or output submitted for review</x:v>
      </x:c>
    </x:row>
    <x:row r="11" ht="22" customHeight="1">
      <x:c r="A11" s="1" t="str">
        <x:v>PY-20261016T094020</x:v>
      </x:c>
      <x:c r="B11" s="7" t="n">
        <x:v>46311</x:v>
      </x:c>
      <x:c r="C11" s="1" t="str">
        <x:v>Python: dictionary foundations in Jupyter</x:v>
      </x:c>
      <x:c r="D11" s="1" t="str">
        <x:v>IST 2026-10-16 09:40:20</x:v>
      </x:c>
      <x:c r="E11" s="1" t="str">
        <x:v>IST 2026-10-16 10:27:42</x:v>
      </x:c>
      <x:c r="F11" s="1" t="n">
        <x:v>47.36666666666667</x:v>
      </x:c>
      <x:c r="G11" s="1" t="str">
        <x:v>completed</x:v>
      </x:c>
      <x:c r="H11" s="1" t="str">
        <x:v>Explicit Start Python; dictionary read/update code submitted; actual output and assistance confirmation pending; Explicit pause at 10:27:42 IST; 47m22s; dictionary/list/conversion/error-handling practice; cleaner list construction corrections pending</x:v>
      </x:c>
    </x:row>
    <x:row r="12" ht="22" customHeight="1">
      <x:c r="A12" s="1" t="str">
        <x:v>PY-20261016T103447</x:v>
      </x:c>
      <x:c r="B12" s="7" t="n">
        <x:v>46311</x:v>
      </x:c>
      <x:c r="C12" s="1" t="str">
        <x:v>Python: valid and rejected record lists</x:v>
      </x:c>
      <x:c r="D12" s="1" t="str">
        <x:v>IST 2026-10-16 10:34:47</x:v>
      </x:c>
      <x:c r="E12" s="1" t="str">
        <x:v>IST 2026-10-16 10:51:42</x:v>
      </x:c>
      <x:c r="F12" s="1" t="n">
        <x:v>16.916666666666668</x:v>
      </x:c>
      <x:c r="G12" s="1" t="str">
        <x:v>completed</x:v>
      </x:c>
      <x:c r="H12" s="1" t="str">
        <x:v>Explicit Resume Python; break excluded; pending integer output dictionaries rejection reasons and removal of positivity filter; Explicit pause at 10:51:42 IST; 16m55s; copy/input-preservation correction with guidance; changed blank spaces zero dataset pending</x:v>
      </x:c>
    </x:row>
    <x:row r="13" ht="22" customHeight="1">
      <x:c r="A13" s="1" t="str">
        <x:v>PY-20261016T113047</x:v>
      </x:c>
      <x:c r="B13" s="7" t="n">
        <x:v>46311</x:v>
      </x:c>
      <x:c r="C13" s="1" t="str">
        <x:v>Python: cleaner changed-input check</x:v>
      </x:c>
      <x:c r="D13" s="1" t="str">
        <x:v>IST 2026-10-16 11:30:47</x:v>
      </x:c>
      <x:c r="E13" s="1" t="str">
        <x:v>IST 2026-10-16 12:00:15</x:v>
      </x:c>
      <x:c r="F13" s="1" t="n">
        <x:v>29.466666666666665</x:v>
      </x:c>
      <x:c r="G13" s="1" t="str">
        <x:v>completed</x:v>
      </x:c>
      <x:c r="H13" s="1" t="str">
        <x:v>Explicit resume-timer; prior topic Python; break excluded; blank spaces zero check pending; no new learning evidence to duplicate; Explicit pause 12:00:15 IST; 29m28s; cleaner function and CSV reading completed with guidance; CSV output task pending</x:v>
      </x:c>
    </x:row>
    <x:row r="14" ht="22" customHeight="1">
      <x:c r="A14" s="1" t="str">
        <x:v>PY-20261016T133137</x:v>
      </x:c>
      <x:c r="B14" s="7" t="n">
        <x:v>46311</x:v>
      </x:c>
      <x:c r="C14" s="1" t="str">
        <x:v>Python: CSV reading and writing</x:v>
      </x:c>
      <x:c r="D14" s="1" t="str">
        <x:v>IST 2026-10-16 13:31:37</x:v>
      </x:c>
      <x:c r="E14" s="1" t="str">
        <x:v>IST 2026-10-16 13:39:15</x:v>
      </x:c>
      <x:c r="F14" s="1" t="n">
        <x:v>7.633333333333334</x:v>
      </x:c>
      <x:c r="G14" s="1" t="str">
        <x:v>completed</x:v>
      </x:c>
      <x:c r="H14" s="1" t="str">
        <x:v>Explicit start-timer for CSV; break excluded; pending output-file task; earlier 15 October uncertain interval remains excluded; Explicit pause 13:39:15 IST; 7m38s; no new submitted code or output; CSV writing task pending</x:v>
      </x:c>
    </x:row>
    <x:row r="15" ht="22" customHeight="1">
      <x:c r="A15" s="1" t="str">
        <x:v>PY-20261017T103739</x:v>
      </x:c>
      <x:c r="B15" s="7" t="n">
        <x:v>46312</x:v>
      </x:c>
      <x:c r="C15" s="1" t="str">
        <x:v>Python: CSV writing and read-back</x:v>
      </x:c>
      <x:c r="D15" s="1" t="str">
        <x:v>IST 2026-10-17 10:37:39</x:v>
      </x:c>
      <x:c r="E15" s="1" t="str">
        <x:v>IST 2026-10-17 11:25:08</x:v>
      </x:c>
      <x:c r="F15" s="1" t="n">
        <x:v>47.483333333333334</x:v>
      </x:c>
      <x:c r="G15" s="1" t="str">
        <x:v>completed</x:v>
      </x:c>
      <x:c r="H15" s="1" t="str">
        <x:v>Explicit Start Python; clock timestamp; resume pending valid/rejected CSV writing and read-back; breaks and old 15 October uncertain interval excluded; no new assessed learning. Explicit pause 11:25:08 IST; 47m29s. Requested split() reference saved earlier; no learner code/output or assessment submitted; CSV writing/read-back remains pending.</x:v>
      </x:c>
    </x:row>
    <x:row r="16" ht="22" customHeight="1">
      <x:c r="A16" s="1" t="str">
        <x:v>PY-20261017T113412</x:v>
      </x:c>
      <x:c r="B16" s="7" t="n">
        <x:v>46312</x:v>
      </x:c>
      <x:c r="C16" s="1" t="str">
        <x:v>Python: CSV writing and read-back</x:v>
      </x:c>
      <x:c r="D16" s="1" t="str">
        <x:v>IST 2026-10-17 11:34:12</x:v>
      </x:c>
      <x:c r="E16" s="1" t="str">
        <x:v>IST 2026-10-17 11:45:31</x:v>
      </x:c>
      <x:c r="F16" s="1" t="n">
        <x:v>11.316666666666666</x:v>
      </x:c>
      <x:c r="G16" s="1" t="str">
        <x:v>completed</x:v>
      </x:c>
      <x:c r="H16" s="1" t="str">
        <x:v>Explicit resume-timer; prior Python topic retained; 11:25:08-11:34:12 break excluded; CSV writing/read-back pending; no new learning evidence. Explicit pause 11:45:31 IST; 11m19s; no new submitted code/output; CSV writing/read-back pending.</x:v>
      </x:c>
    </x:row>
    <x:row r="17" ht="22" customHeight="1">
      <x:c r="A17" s="1" t="str">
        <x:v>PY-20261017T120153</x:v>
      </x:c>
      <x:c r="B17" s="7" t="n">
        <x:v>46312</x:v>
      </x:c>
      <x:c r="C17" s="1" t="str">
        <x:v>Python: CSV writing and read-back</x:v>
      </x:c>
      <x:c r="D17" s="1" t="str">
        <x:v>IST 2026-10-17 12:01:53</x:v>
      </x:c>
      <x:c r="E17" s="1" t="str">
        <x:v>IST 2026-10-17 12:32:30</x:v>
      </x:c>
      <x:c r="F17" s="1" t="n">
        <x:v>30.616666666666667</x:v>
      </x:c>
      <x:c r="G17" s="1" t="str">
        <x:v>completed</x:v>
      </x:c>
      <x:c r="H17" s="1" t="str">
        <x:v>Explicit resume-timer; prior Python topic retained; 11:45:31-12:01:53 break excluded; CSV writing/read-back pending; no new learning evidence. Explicit pause 12:32:30 IST; 30m37s; no new submitted code/output; CSV writing/read-back pending.</x:v>
      </x:c>
    </x:row>
    <x:row r="18" ht="22" customHeight="1">
      <x:c r="A18" s="1" t="str">
        <x:v>PY-20261017T152016</x:v>
      </x:c>
      <x:c r="B18" s="7" t="n">
        <x:v>46312</x:v>
      </x:c>
      <x:c r="C18" s="1" t="str">
        <x:v>Python: CSV writing and read-back</x:v>
      </x:c>
      <x:c r="D18" s="1" t="str">
        <x:v>IST 2026-10-17 15:20:16</x:v>
      </x:c>
      <x:c r="E18" s="1" t="str">
        <x:v>IST 2026-10-17 16:39:54</x:v>
      </x:c>
      <x:c r="F18" s="1" t="n">
        <x:v>79.63333333333334</x:v>
      </x:c>
      <x:c r="G18" s="1" t="str">
        <x:v>completed</x:v>
      </x:c>
      <x:c r="H18" s="1" t="str">
        <x:v>Explicit start-timer; established Python topic retained; break since 12:32:30 excluded; CSV writing/read-back pending; no new learning evidence. Topic switched to RetailFlow at 16:39:54 IST on explicit integration request; no new code reviewed; outgoing interval not attributed to RetailFlow.</x:v>
      </x:c>
    </x:row>
    <x:row r="19" ht="22" customHeight="1">
      <x:c r="A19" s="1" t="str">
        <x:v>RF-20261017T163954</x:v>
      </x:c>
      <x:c r="B19" s="7" t="n">
        <x:v>46312</x:v>
      </x:c>
      <x:c r="C19" s="1" t="str">
        <x:v>Python / RetailFlow: setup and RF-001</x:v>
      </x:c>
      <x:c r="D19" s="1" t="str">
        <x:v>IST 2026-10-17 16:39:54</x:v>
      </x:c>
      <x:c r="E19" s="1" t="str">
        <x:v>IST 2026-10-17 17:45:25</x:v>
      </x:c>
      <x:c r="F19" s="1" t="n">
        <x:v>65.51666666666667</x:v>
      </x:c>
      <x:c r="G19" s="1" t="str">
        <x:v>completed</x:v>
      </x:c>
      <x:c r="H19" s="1" t="str">
        <x:v>Existing authorised Python timer continues across explicit project switch; no break/overlap; RetailFlow setup is not learning success; only completed RF-prefixed intervals count toward confirmed project hours. Switched to RRDAP at 17:45:25 IST on explicit replacement request; setup/planning interval, no verified implementation; preserve separately from RRDAP time.</x:v>
      </x:c>
    </x:row>
    <x:row r="20" ht="22" customHeight="1">
      <x:c r="A20" s="1" t="str">
        <x:v>RDS-20261017T174525</x:v>
      </x:c>
      <x:c r="B20" s="7" t="n">
        <x:v>46312</x:v>
      </x:c>
      <x:c r="C20" s="1" t="str">
        <x:v>Python / RRDAP: setup and RDS-001</x:v>
      </x:c>
      <x:c r="D20" s="1" t="str">
        <x:v>IST 2026-10-17 17:45:25</x:v>
      </x:c>
      <x:c r="E20" s="1" t="str">
        <x:v>IST 2026-10-17 19:58:56</x:v>
      </x:c>
      <x:c r="F20" s="1" t="n">
        <x:v>133.51666666666668</x:v>
      </x:c>
      <x:c r="G20" s="1" t="str">
        <x:v>completed</x:v>
      </x:c>
      <x:c r="H20" s="1" t="str">
        <x:v>Existing authorised study timer continues across explicit project replacement without overlap; RRDAP setup is not learning success; completed RDS-prefixed intervals own project time. Explicit pause at 19:58:56 IST; 2h13m31s. No new learner code/output or assessment available in this chat; RDS-001 remains pending.</x:v>
      </x:c>
    </x:row>
    <x:row r="21" ht="22" customHeight="1">
      <x:c r="A21" s="1" t="str">
        <x:v>RDS-20261017T205651</x:v>
      </x:c>
      <x:c r="B21" s="7" t="n">
        <x:v>46312</x:v>
      </x:c>
      <x:c r="C21" s="1" t="str">
        <x:v>Python / RRDAP: RDS-001 Product Catalogue</x:v>
      </x:c>
      <x:c r="D21" s="1" t="str">
        <x:v>IST 2026-10-17 20:56:51</x:v>
      </x:c>
      <x:c r="E21" s="1" t="str">
        <x:v>IST 2026-10-17 21:27:54</x:v>
      </x:c>
      <x:c r="F21" s="1" t="n">
        <x:v>31.05</x:v>
      </x:c>
      <x:c r="G21" s="1" t="str">
        <x:v>completed</x:v>
      </x:c>
      <x:c r="H21" s="1" t="str">
        <x:v>Explicit resume-timer; established RRDAP topic retained. Break 19:58:56-20:56:51 (57m55s) excluded. RDS-001 approach/implementation pending; no new assessed learning. Explicit pause at 21:27:54 IST; 31m03s. No new learner submission or assessed learning in this chat; RDS-001 pending.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20" hidden="0" customWidth="1"/>
  </x:cols>
  <x:sheetData>
    <x:row r="2">
      <x:c r="A2" t="str">
        <x:v>Confirmed time by source topic</x:v>
      </x:c>
    </x:row>
    <x:row r="4">
      <x:c r="A4" t="str">
        <x:v>Exact source labels. Mixed/setup time does not prove technology proficiency.</x:v>
      </x:c>
    </x:row>
    <x:row r="6" ht="28" customHeight="1">
      <x:c r="A6" s="3" t="str">
        <x:v>Source topic</x:v>
      </x:c>
      <x:c r="B6" s="3" t="str">
        <x:v>Confirmed hours</x:v>
      </x:c>
    </x:row>
    <x:row r="7">
      <x:c r="A7" s="1" t="str">
        <x:v>Python / RRDAP: RDS-001 Product Catalogue</x:v>
      </x:c>
      <x:c r="B7" s="6" t="n">
        <x:f>SUMIFS('Sessions'!$F$2:$F$21,'Sessions'!$C$2:$C$21,A7,'Sessions'!$G$2:$G$21,"completed",'Sessions'!$B$2:$B$21,"&lt;="&amp;'Daily'!$B$4)/60</x:f>
        <x:v>0.5175</x:v>
      </x:c>
    </x:row>
    <x:row r="8">
      <x:c r="A8" s="1" t="str">
        <x:v>Python / RRDAP: setup and RDS-001</x:v>
      </x:c>
      <x:c r="B8" s="6" t="n">
        <x:f>SUMIFS('Sessions'!$F$2:$F$21,'Sessions'!$C$2:$C$21,A8,'Sessions'!$G$2:$G$21,"completed",'Sessions'!$B$2:$B$21,"&lt;="&amp;'Daily'!$B$4)/60</x:f>
        <x:v>2.225277777777778</x:v>
      </x:c>
    </x:row>
    <x:row r="9">
      <x:c r="A9" s="1" t="str">
        <x:v>Python / RetailFlow: setup and RF-001</x:v>
      </x:c>
      <x:c r="B9" s="6" t="n">
        <x:f>SUMIFS('Sessions'!$F$2:$F$21,'Sessions'!$C$2:$C$21,A9,'Sessions'!$G$2:$G$21,"completed",'Sessions'!$B$2:$B$21,"&lt;="&amp;'Daily'!$B$4)/60</x:f>
        <x:v>1.0919444444444444</x:v>
      </x:c>
    </x:row>
    <x:row r="10">
      <x:c r="A10" s="1" t="str">
        <x:v>Python: CSV reading and writing</x:v>
      </x:c>
      <x:c r="B10" s="6" t="n">
        <x:f>SUMIFS('Sessions'!$F$2:$F$21,'Sessions'!$C$2:$C$21,A10,'Sessions'!$G$2:$G$21,"completed",'Sessions'!$B$2:$B$21,"&lt;="&amp;'Daily'!$B$4)/60</x:f>
        <x:v>0.12722222222222224</x:v>
      </x:c>
    </x:row>
    <x:row r="11">
      <x:c r="A11" s="1" t="str">
        <x:v>Python: CSV writing and read-back</x:v>
      </x:c>
      <x:c r="B11" s="6" t="n">
        <x:f>SUMIFS('Sessions'!$F$2:$F$21,'Sessions'!$C$2:$C$21,A11,'Sessions'!$G$2:$G$21,"completed",'Sessions'!$B$2:$B$21,"&lt;="&amp;'Daily'!$B$4)/60</x:f>
        <x:v>2.8175000000000003</x:v>
      </x:c>
    </x:row>
    <x:row r="12">
      <x:c r="A12" s="1" t="str">
        <x:v>Python: cleaner changed-input check</x:v>
      </x:c>
      <x:c r="B12" s="6" t="n">
        <x:f>SUMIFS('Sessions'!$F$2:$F$21,'Sessions'!$C$2:$C$21,A12,'Sessions'!$G$2:$G$21,"completed",'Sessions'!$B$2:$B$21,"&lt;="&amp;'Daily'!$B$4)/60</x:f>
        <x:v>0.4911111111111111</x:v>
      </x:c>
    </x:row>
    <x:row r="13">
      <x:c r="A13" s="1" t="str">
        <x:v>Python: dictionary foundations in Jupyter</x:v>
      </x:c>
      <x:c r="B13" s="6" t="n">
        <x:f>SUMIFS('Sessions'!$F$2:$F$21,'Sessions'!$C$2:$C$21,A13,'Sessions'!$G$2:$G$21,"completed",'Sessions'!$B$2:$B$21,"&lt;="&amp;'Daily'!$B$4)/60</x:f>
        <x:v>1.6424999999994445</x:v>
      </x:c>
    </x:row>
    <x:row r="14">
      <x:c r="A14" s="1" t="str">
        <x:v>Python: dictionary records baseline</x:v>
      </x:c>
      <x:c r="B14" s="6" t="n">
        <x:f>SUMIFS('Sessions'!$F$2:$F$21,'Sessions'!$C$2:$C$21,A14,'Sessions'!$G$2:$G$21,"completed",'Sessions'!$B$2:$B$21,"&lt;="&amp;'Daily'!$B$4)/60</x:f>
        <x:v>0.21111111111166667</x:v>
      </x:c>
    </x:row>
    <x:row r="15">
      <x:c r="A15" s="1" t="str">
        <x:v>Python: record cleaning</x:v>
      </x:c>
      <x:c r="B15" s="6" t="n">
        <x:f>SUMIFS('Sessions'!$F$2:$F$21,'Sessions'!$C$2:$C$21,A15,'Sessions'!$G$2:$G$21,"completed",'Sessions'!$B$2:$B$21,"&lt;="&amp;'Daily'!$B$4)/60</x:f>
        <x:v>0.22972222222166666</x:v>
      </x:c>
    </x:row>
    <x:row r="16">
      <x:c r="A16" s="1" t="str">
        <x:v>Python: valid and rejected record lists</x:v>
      </x:c>
      <x:c r="B16" s="6" t="n">
        <x:f>SUMIFS('Sessions'!$F$2:$F$21,'Sessions'!$C$2:$C$21,A16,'Sessions'!$G$2:$G$21,"completed",'Sessions'!$B$2:$B$21,"&lt;="&amp;'Daily'!$B$4)/60</x:f>
        <x:v>0.28194444444444444</x:v>
      </x:c>
    </x:row>
    <x:row r="17">
      <x:c r="A17" s="1" t="str">
        <x:v>SQL: LEFT JOIN and unmatched rows</x:v>
      </x:c>
      <x:c r="B17" s="6" t="n">
        <x:f>SUMIFS('Sessions'!$F$2:$F$21,'Sessions'!$C$2:$C$21,A17,'Sessions'!$G$2:$G$21,"completed",'Sessions'!$B$2:$B$21,"&lt;="&amp;'Daily'!$B$4)/60</x:f>
        <x:v>0.34055555555666667</x:v>
      </x:c>
    </x:row>
    <x:row r="18">
      <x:c r="A18" s="1" t="str">
        <x:v>SQL: joins counting grouping and SUM setup</x:v>
      </x:c>
      <x:c r="B18" s="6" t="n">
        <x:f>SUMIFS('Sessions'!$F$2:$F$21,'Sessions'!$C$2:$C$21,A18,'Sessions'!$G$2:$G$21,"completed",'Sessions'!$B$2:$B$21,"&lt;="&amp;'Daily'!$B$4)/60</x:f>
        <x:v>1.175</x:v>
      </x:c>
    </x:row>
  </x:sheetData>
  <x:pageMargins left="0.7" right="0.7" top="0.75" bottom="0.75" header="0.3" footer="0.3"/>
</x:worksheet>
</file>